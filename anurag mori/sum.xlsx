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nurag mori\"/>
    </mc:Choice>
  </mc:AlternateContent>
  <xr:revisionPtr revIDLastSave="0" documentId="8_{823E5D37-2793-4F03-8273-EEA4BA8772F9}" xr6:coauthVersionLast="47" xr6:coauthVersionMax="47" xr10:uidLastSave="{00000000-0000-0000-0000-000000000000}"/>
  <bookViews>
    <workbookView xWindow="-120" yWindow="-120" windowWidth="29040" windowHeight="15720" activeTab="1" xr2:uid="{3BF8FB4F-BC30-496D-97E5-9E7023F203A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28" i="1" l="1"/>
  <c r="L25" i="1"/>
  <c r="L22" i="1"/>
  <c r="L19" i="1"/>
  <c r="L16" i="1"/>
  <c r="L13" i="1"/>
  <c r="L10" i="1"/>
  <c r="L6" i="1"/>
  <c r="L4" i="1"/>
</calcChain>
</file>

<file path=xl/sharedStrings.xml><?xml version="1.0" encoding="utf-8"?>
<sst xmlns="http://schemas.openxmlformats.org/spreadsheetml/2006/main" count="72" uniqueCount="41">
  <si>
    <t>suresh</t>
  </si>
  <si>
    <t>aman</t>
  </si>
  <si>
    <t>anurag</t>
  </si>
  <si>
    <t>yug</t>
  </si>
  <si>
    <t>meet</t>
  </si>
  <si>
    <t>hemal</t>
  </si>
  <si>
    <t>yash</t>
  </si>
  <si>
    <t>dhruvil</t>
  </si>
  <si>
    <t>mayank</t>
  </si>
  <si>
    <t>romit</t>
  </si>
  <si>
    <t>krish</t>
  </si>
  <si>
    <t>aryan</t>
  </si>
  <si>
    <t>khushal</t>
  </si>
  <si>
    <t>naitik</t>
  </si>
  <si>
    <t>miral</t>
  </si>
  <si>
    <t>mahek</t>
  </si>
  <si>
    <t>hemangi</t>
  </si>
  <si>
    <t>mital</t>
  </si>
  <si>
    <t>Order Id</t>
  </si>
  <si>
    <t>Salesperson</t>
  </si>
  <si>
    <t>region</t>
  </si>
  <si>
    <t>West</t>
  </si>
  <si>
    <t>north</t>
  </si>
  <si>
    <t>south</t>
  </si>
  <si>
    <t>east</t>
  </si>
  <si>
    <t>west</t>
  </si>
  <si>
    <t>Product</t>
  </si>
  <si>
    <t>laptop</t>
  </si>
  <si>
    <t>mobile</t>
  </si>
  <si>
    <t>tablet</t>
  </si>
  <si>
    <t>sales_Amount</t>
  </si>
  <si>
    <t>Quntity</t>
  </si>
  <si>
    <t>Total Sales Amount</t>
  </si>
  <si>
    <t>Total quntity Amount</t>
  </si>
  <si>
    <t>Total sales in the west region</t>
  </si>
  <si>
    <t>total sales for moblie product</t>
  </si>
  <si>
    <t>TOTAL SALES IN NORTH REGION FOR LAPTOP PRODUCTS</t>
  </si>
  <si>
    <t>average sales amount</t>
  </si>
  <si>
    <t>average quntity sold per order</t>
  </si>
  <si>
    <t>tottal number of orders</t>
  </si>
  <si>
    <t>west region with sales &gt;30000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</si>
</sst>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BDAB8-55ED-4F54-B1A2-0626F3EFDF14}">
  <dimension ref="A2:L29"/>
  <sheetViews>
    <sheetView workbookViewId="0">
      <selection activeCell="L28" sqref="L28"/>
    </sheetView>
  </sheetViews>
  <sheetFormatPr defaultRowHeight="15" x14ac:dyDescent="0.25"/>
  <cols>
    <col min="1" max="1" width="8.28515625" bestFit="1" customWidth="1"/>
    <col min="2" max="2" width="11.7109375" bestFit="1" customWidth="1"/>
    <col min="3" max="3" width="6.7109375" bestFit="1" customWidth="1"/>
    <col min="4" max="4" width="7.85546875" bestFit="1" customWidth="1"/>
    <col min="5" max="5" width="13.7109375" bestFit="1" customWidth="1"/>
    <col min="6" max="6" width="7.7109375" bestFit="1" customWidth="1"/>
    <col min="10" max="10" width="27.42578125" customWidth="1"/>
  </cols>
  <sheetData>
    <row r="2" spans="1:12" x14ac:dyDescent="0.25">
      <c r="A2" s="1" t="s">
        <v>18</v>
      </c>
      <c r="B2" s="1" t="s">
        <v>19</v>
      </c>
      <c r="C2" s="1" t="s">
        <v>20</v>
      </c>
      <c r="D2" s="1" t="s">
        <v>26</v>
      </c>
      <c r="E2" s="1" t="s">
        <v>30</v>
      </c>
      <c r="F2" s="1" t="s">
        <v>31</v>
      </c>
    </row>
    <row r="3" spans="1:12" x14ac:dyDescent="0.25">
      <c r="A3" s="1">
        <v>1001</v>
      </c>
      <c r="B3" s="1" t="s">
        <v>0</v>
      </c>
      <c r="C3" s="1" t="s">
        <v>21</v>
      </c>
      <c r="D3" s="1" t="s">
        <v>27</v>
      </c>
      <c r="E3" s="1">
        <v>28716</v>
      </c>
      <c r="F3" s="1">
        <v>4</v>
      </c>
      <c r="I3" s="2" t="s">
        <v>32</v>
      </c>
      <c r="J3" s="2"/>
    </row>
    <row r="4" spans="1:12" x14ac:dyDescent="0.25">
      <c r="A4" s="1">
        <v>1002</v>
      </c>
      <c r="B4" s="1" t="s">
        <v>1</v>
      </c>
      <c r="C4" s="1" t="s">
        <v>22</v>
      </c>
      <c r="D4" s="1" t="s">
        <v>28</v>
      </c>
      <c r="E4" s="1">
        <v>53390</v>
      </c>
      <c r="F4" s="1">
        <v>6</v>
      </c>
      <c r="I4" s="2"/>
      <c r="J4" s="2"/>
      <c r="L4" s="4">
        <f>SUM(E3:E21)</f>
        <v>712924</v>
      </c>
    </row>
    <row r="5" spans="1:12" x14ac:dyDescent="0.25">
      <c r="A5" s="1">
        <v>1003</v>
      </c>
      <c r="B5" s="1" t="s">
        <v>2</v>
      </c>
      <c r="C5" s="1" t="s">
        <v>23</v>
      </c>
      <c r="D5" s="1" t="s">
        <v>29</v>
      </c>
      <c r="E5" s="1">
        <v>55437</v>
      </c>
      <c r="F5" s="1">
        <v>5</v>
      </c>
      <c r="I5" s="1"/>
      <c r="J5" s="1"/>
    </row>
    <row r="6" spans="1:12" x14ac:dyDescent="0.25">
      <c r="A6" s="1">
        <v>1004</v>
      </c>
      <c r="B6" s="1" t="s">
        <v>3</v>
      </c>
      <c r="C6" s="1" t="s">
        <v>24</v>
      </c>
      <c r="D6" s="1" t="s">
        <v>27</v>
      </c>
      <c r="E6" s="1">
        <v>44846</v>
      </c>
      <c r="F6" s="1">
        <v>3</v>
      </c>
      <c r="I6" s="2" t="s">
        <v>33</v>
      </c>
      <c r="J6" s="2"/>
      <c r="L6" s="4">
        <f>SUM(F3:F21)</f>
        <v>79</v>
      </c>
    </row>
    <row r="7" spans="1:12" x14ac:dyDescent="0.25">
      <c r="A7" s="1">
        <v>1005</v>
      </c>
      <c r="B7" s="1" t="s">
        <v>4</v>
      </c>
      <c r="C7" s="1" t="s">
        <v>21</v>
      </c>
      <c r="D7" s="1" t="s">
        <v>28</v>
      </c>
      <c r="E7" s="1">
        <v>39473</v>
      </c>
      <c r="F7" s="1">
        <v>5</v>
      </c>
      <c r="I7" s="2"/>
      <c r="J7" s="2"/>
    </row>
    <row r="8" spans="1:12" x14ac:dyDescent="0.25">
      <c r="A8" s="1">
        <v>1006</v>
      </c>
      <c r="B8" s="1" t="s">
        <v>5</v>
      </c>
      <c r="C8" s="1" t="s">
        <v>22</v>
      </c>
      <c r="D8" s="1" t="s">
        <v>29</v>
      </c>
      <c r="E8" s="1">
        <v>25339</v>
      </c>
      <c r="F8" s="1">
        <v>5</v>
      </c>
      <c r="I8" s="1"/>
      <c r="J8" s="1"/>
    </row>
    <row r="9" spans="1:12" x14ac:dyDescent="0.25">
      <c r="A9" s="1">
        <v>1007</v>
      </c>
      <c r="B9" s="1" t="s">
        <v>6</v>
      </c>
      <c r="C9" s="1" t="s">
        <v>23</v>
      </c>
      <c r="D9" s="1" t="s">
        <v>27</v>
      </c>
      <c r="E9" s="1">
        <v>23448</v>
      </c>
      <c r="F9" s="1">
        <v>3</v>
      </c>
      <c r="I9" s="1"/>
      <c r="J9" s="1"/>
    </row>
    <row r="10" spans="1:12" x14ac:dyDescent="0.25">
      <c r="A10" s="1">
        <v>1008</v>
      </c>
      <c r="B10" s="1" t="s">
        <v>7</v>
      </c>
      <c r="C10" s="1" t="s">
        <v>24</v>
      </c>
      <c r="D10" s="1" t="s">
        <v>28</v>
      </c>
      <c r="E10" s="1">
        <v>35050</v>
      </c>
      <c r="F10" s="1">
        <v>4</v>
      </c>
      <c r="I10" s="2" t="s">
        <v>34</v>
      </c>
      <c r="J10" s="2"/>
      <c r="L10" s="4">
        <f>SUMIF(C3:C21,"West",E3:E21)</f>
        <v>193239</v>
      </c>
    </row>
    <row r="11" spans="1:12" x14ac:dyDescent="0.25">
      <c r="A11" s="1">
        <v>1009</v>
      </c>
      <c r="B11" s="1" t="s">
        <v>7</v>
      </c>
      <c r="C11" s="1" t="s">
        <v>21</v>
      </c>
      <c r="D11" s="1" t="s">
        <v>29</v>
      </c>
      <c r="E11" s="1">
        <v>32373</v>
      </c>
      <c r="F11" s="1">
        <v>4</v>
      </c>
      <c r="I11" s="2"/>
      <c r="J11" s="2"/>
    </row>
    <row r="12" spans="1:12" x14ac:dyDescent="0.25">
      <c r="A12" s="1">
        <v>1010</v>
      </c>
      <c r="B12" s="1" t="s">
        <v>8</v>
      </c>
      <c r="C12" s="1" t="s">
        <v>22</v>
      </c>
      <c r="D12" s="1" t="s">
        <v>27</v>
      </c>
      <c r="E12" s="1">
        <v>35224</v>
      </c>
      <c r="F12" s="1">
        <v>4</v>
      </c>
      <c r="I12" s="1"/>
      <c r="J12" s="1"/>
    </row>
    <row r="13" spans="1:12" x14ac:dyDescent="0.25">
      <c r="A13" s="1">
        <v>1011</v>
      </c>
      <c r="B13" s="1" t="s">
        <v>9</v>
      </c>
      <c r="C13" s="1" t="s">
        <v>23</v>
      </c>
      <c r="D13" s="1" t="s">
        <v>28</v>
      </c>
      <c r="E13" s="1">
        <v>30993</v>
      </c>
      <c r="F13" s="1">
        <v>2</v>
      </c>
      <c r="I13" s="2" t="s">
        <v>35</v>
      </c>
      <c r="J13" s="2"/>
      <c r="L13" s="4">
        <f>SUMIF(D3:D21,"mobile",E3:E21)</f>
        <v>224740</v>
      </c>
    </row>
    <row r="14" spans="1:12" x14ac:dyDescent="0.25">
      <c r="A14" s="1">
        <v>1012</v>
      </c>
      <c r="B14" s="1" t="s">
        <v>10</v>
      </c>
      <c r="C14" s="1" t="s">
        <v>24</v>
      </c>
      <c r="D14" s="1" t="s">
        <v>29</v>
      </c>
      <c r="E14" s="1">
        <v>54198</v>
      </c>
      <c r="F14" s="1">
        <v>4</v>
      </c>
      <c r="I14" s="2"/>
      <c r="J14" s="2"/>
    </row>
    <row r="15" spans="1:12" x14ac:dyDescent="0.25">
      <c r="A15" s="1">
        <v>1013</v>
      </c>
      <c r="B15" s="1" t="s">
        <v>11</v>
      </c>
      <c r="C15" s="1" t="s">
        <v>23</v>
      </c>
      <c r="D15" s="1" t="s">
        <v>27</v>
      </c>
      <c r="E15" s="1">
        <v>26830</v>
      </c>
      <c r="F15" s="1">
        <v>3</v>
      </c>
      <c r="I15" s="1"/>
      <c r="J15" s="1"/>
    </row>
    <row r="16" spans="1:12" x14ac:dyDescent="0.25">
      <c r="A16" s="1">
        <v>1014</v>
      </c>
      <c r="B16" s="1" t="s">
        <v>12</v>
      </c>
      <c r="C16" s="1" t="s">
        <v>21</v>
      </c>
      <c r="D16" s="1" t="s">
        <v>28</v>
      </c>
      <c r="E16" s="1">
        <v>46537</v>
      </c>
      <c r="F16" s="1">
        <v>6</v>
      </c>
      <c r="I16" s="3" t="s">
        <v>36</v>
      </c>
      <c r="J16" s="3"/>
      <c r="L16" s="4">
        <f>SUMIF(C3:C21,"North",E3:E21)</f>
        <v>197912</v>
      </c>
    </row>
    <row r="17" spans="1:12" x14ac:dyDescent="0.25">
      <c r="A17" s="1">
        <v>1015</v>
      </c>
      <c r="B17" s="1" t="s">
        <v>13</v>
      </c>
      <c r="C17" s="1" t="s">
        <v>22</v>
      </c>
      <c r="D17" s="1" t="s">
        <v>29</v>
      </c>
      <c r="E17" s="1">
        <v>41769</v>
      </c>
      <c r="F17" s="1">
        <v>4</v>
      </c>
      <c r="I17" s="3"/>
      <c r="J17" s="3"/>
    </row>
    <row r="18" spans="1:12" x14ac:dyDescent="0.25">
      <c r="A18" s="1">
        <v>1016</v>
      </c>
      <c r="B18" s="1" t="s">
        <v>14</v>
      </c>
      <c r="C18" s="1" t="s">
        <v>23</v>
      </c>
      <c r="D18" s="1" t="s">
        <v>27</v>
      </c>
      <c r="E18" s="1">
        <v>31674</v>
      </c>
      <c r="F18" s="1">
        <v>2</v>
      </c>
      <c r="I18" s="1"/>
      <c r="J18" s="1"/>
    </row>
    <row r="19" spans="1:12" x14ac:dyDescent="0.25">
      <c r="A19" s="1">
        <v>1017</v>
      </c>
      <c r="B19" s="1" t="s">
        <v>15</v>
      </c>
      <c r="C19" s="1" t="s">
        <v>24</v>
      </c>
      <c r="D19" s="1" t="s">
        <v>28</v>
      </c>
      <c r="E19" s="1">
        <v>19297</v>
      </c>
      <c r="F19" s="1">
        <v>6</v>
      </c>
      <c r="I19" s="2" t="s">
        <v>37</v>
      </c>
      <c r="J19" s="2"/>
      <c r="L19" s="4">
        <f>AVERAGE(E3:E21)</f>
        <v>37522.315789473687</v>
      </c>
    </row>
    <row r="20" spans="1:12" x14ac:dyDescent="0.25">
      <c r="A20" s="1">
        <v>1018</v>
      </c>
      <c r="B20" s="1" t="s">
        <v>16</v>
      </c>
      <c r="C20" s="1" t="s">
        <v>22</v>
      </c>
      <c r="D20" s="1" t="s">
        <v>29</v>
      </c>
      <c r="E20" s="1">
        <v>42190</v>
      </c>
      <c r="F20" s="1">
        <v>5</v>
      </c>
      <c r="I20" s="2"/>
      <c r="J20" s="2"/>
    </row>
    <row r="21" spans="1:12" x14ac:dyDescent="0.25">
      <c r="A21" s="1">
        <v>1019</v>
      </c>
      <c r="B21" s="1" t="s">
        <v>17</v>
      </c>
      <c r="C21" s="1" t="s">
        <v>25</v>
      </c>
      <c r="D21" s="1" t="s">
        <v>27</v>
      </c>
      <c r="E21" s="1">
        <v>46140</v>
      </c>
      <c r="F21" s="1">
        <v>4</v>
      </c>
      <c r="I21" s="1"/>
      <c r="J21" s="1"/>
    </row>
    <row r="22" spans="1:12" x14ac:dyDescent="0.25">
      <c r="I22" s="2" t="s">
        <v>38</v>
      </c>
      <c r="J22" s="2"/>
      <c r="L22" s="4">
        <f>AVERAGE(F3:F21)</f>
        <v>4.1578947368421053</v>
      </c>
    </row>
    <row r="23" spans="1:12" x14ac:dyDescent="0.25">
      <c r="I23" s="2"/>
      <c r="J23" s="2"/>
    </row>
    <row r="24" spans="1:12" x14ac:dyDescent="0.25">
      <c r="I24" s="1"/>
      <c r="J24" s="1"/>
    </row>
    <row r="25" spans="1:12" x14ac:dyDescent="0.25">
      <c r="I25" s="2" t="s">
        <v>39</v>
      </c>
      <c r="J25" s="2"/>
      <c r="L25" s="4">
        <f>COUNTA(A3:A21)</f>
        <v>19</v>
      </c>
    </row>
    <row r="26" spans="1:12" x14ac:dyDescent="0.25">
      <c r="I26" s="2"/>
      <c r="J26" s="2"/>
    </row>
    <row r="27" spans="1:12" x14ac:dyDescent="0.25">
      <c r="I27" s="1"/>
      <c r="J27" s="1"/>
    </row>
    <row r="28" spans="1:12" x14ac:dyDescent="0.25">
      <c r="I28" s="2" t="s">
        <v>40</v>
      </c>
      <c r="J28" s="2"/>
      <c r="L28" s="4">
        <f>COUNTA(C3:C21,"&gt;30000")</f>
        <v>20</v>
      </c>
    </row>
    <row r="29" spans="1:12" x14ac:dyDescent="0.25">
      <c r="I29" s="2"/>
      <c r="J29" s="2"/>
    </row>
  </sheetData>
  <mergeCells count="9">
    <mergeCell ref="I22:J23"/>
    <mergeCell ref="I25:J26"/>
    <mergeCell ref="I28:J29"/>
    <mergeCell ref="I3:J4"/>
    <mergeCell ref="I6:J7"/>
    <mergeCell ref="I10:J11"/>
    <mergeCell ref="I13:J14"/>
    <mergeCell ref="I16:J17"/>
    <mergeCell ref="I19:J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D1EF-5604-4E2B-A194-8FC4DF0EC6F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ASDC9</dc:creator>
  <cp:lastModifiedBy>ASDC9</cp:lastModifiedBy>
  <dcterms:created xsi:type="dcterms:W3CDTF">2026-04-03T12:50:29Z</dcterms:created>
  <dcterms:modified xsi:type="dcterms:W3CDTF">2026-04-03T14:18:39Z</dcterms:modified>
</cp:coreProperties>
</file>