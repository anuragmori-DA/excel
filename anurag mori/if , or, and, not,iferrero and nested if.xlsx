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rag mori\"/>
    </mc:Choice>
  </mc:AlternateContent>
  <xr:revisionPtr revIDLastSave="0" documentId="13_ncr:1_{49C85F7F-9C6F-46EF-B269-6E737753D8BE}" xr6:coauthVersionLast="47" xr6:coauthVersionMax="47" xr10:uidLastSave="{00000000-0000-0000-0000-000000000000}"/>
  <bookViews>
    <workbookView xWindow="-120" yWindow="-120" windowWidth="29040" windowHeight="15720" xr2:uid="{B1055382-5A62-424A-9699-089EE993A7D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10" l="1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4" i="10"/>
  <c r="C5" i="9"/>
  <c r="C6" i="9"/>
  <c r="C7" i="9"/>
  <c r="C8" i="9"/>
  <c r="C9" i="9"/>
  <c r="C10" i="9"/>
  <c r="C11" i="9"/>
  <c r="C12" i="9"/>
  <c r="C13" i="9"/>
  <c r="C4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4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4" i="4"/>
  <c r="C5" i="3" a="1"/>
  <c r="C5" i="3"/>
  <c r="C6" i="3" a="1"/>
  <c r="C6" i="3"/>
  <c r="C7" i="3" a="1"/>
  <c r="C7" i="3"/>
  <c r="C8" i="3" a="1"/>
  <c r="C8" i="3"/>
  <c r="C9" i="3" a="1"/>
  <c r="C9" i="3" s="1"/>
  <c r="C10" i="3" a="1"/>
  <c r="C10" i="3" s="1"/>
  <c r="C11" i="3" a="1"/>
  <c r="C11" i="3"/>
  <c r="C12" i="3" a="1"/>
  <c r="C12" i="3"/>
  <c r="C13" i="3" a="1"/>
  <c r="C13" i="3"/>
  <c r="C14" i="3" a="1"/>
  <c r="C14" i="3"/>
  <c r="C15" i="3" a="1"/>
  <c r="C15" i="3" s="1"/>
  <c r="C16" i="3" a="1"/>
  <c r="C16" i="3" s="1"/>
  <c r="C17" i="3" a="1"/>
  <c r="C17" i="3"/>
  <c r="C18" i="3" a="1"/>
  <c r="C18" i="3"/>
  <c r="C19" i="3" a="1"/>
  <c r="C19" i="3"/>
  <c r="C20" i="3" a="1"/>
  <c r="C20" i="3"/>
  <c r="C21" i="3" a="1"/>
  <c r="C21" i="3" s="1"/>
  <c r="C22" i="3" a="1"/>
  <c r="C22" i="3"/>
  <c r="C23" i="3" a="1"/>
  <c r="C23" i="3"/>
  <c r="C4" i="3" a="1"/>
  <c r="C4" i="3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3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<sst xmlns="http://schemas.openxmlformats.org/spreadsheetml/2006/main" count="255" uniqueCount="52">
  <si>
    <t>roll no</t>
  </si>
  <si>
    <t>student</t>
  </si>
  <si>
    <t>marks</t>
  </si>
  <si>
    <t>result</t>
  </si>
  <si>
    <t>mihir</t>
  </si>
  <si>
    <t>amnam</t>
  </si>
  <si>
    <t>meet</t>
  </si>
  <si>
    <t>vays</t>
  </si>
  <si>
    <t>miral</t>
  </si>
  <si>
    <t>pandit</t>
  </si>
  <si>
    <t>anu</t>
  </si>
  <si>
    <t>hemal</t>
  </si>
  <si>
    <t>yug</t>
  </si>
  <si>
    <t>yash</t>
  </si>
  <si>
    <t>vivek</t>
  </si>
  <si>
    <t>vanshjay</t>
  </si>
  <si>
    <t>daxa</t>
  </si>
  <si>
    <t>hari</t>
  </si>
  <si>
    <t>dhruvil</t>
  </si>
  <si>
    <t>renil</t>
  </si>
  <si>
    <t>vihar</t>
  </si>
  <si>
    <t>deep</t>
  </si>
  <si>
    <t>himanshu</t>
  </si>
  <si>
    <t>employee name</t>
  </si>
  <si>
    <t>salary</t>
  </si>
  <si>
    <t>bouns status</t>
  </si>
  <si>
    <t>student name</t>
  </si>
  <si>
    <t>grade</t>
  </si>
  <si>
    <t>name</t>
  </si>
  <si>
    <t>age</t>
  </si>
  <si>
    <t>experience</t>
  </si>
  <si>
    <t>eligible</t>
  </si>
  <si>
    <t>attendance</t>
  </si>
  <si>
    <t>assignment submitted</t>
  </si>
  <si>
    <t>yes</t>
  </si>
  <si>
    <t>no</t>
  </si>
  <si>
    <t>customer name</t>
  </si>
  <si>
    <t>purchase amount</t>
  </si>
  <si>
    <t>membership</t>
  </si>
  <si>
    <t>dicount</t>
  </si>
  <si>
    <t>applicant</t>
  </si>
  <si>
    <t>cibil score</t>
  </si>
  <si>
    <t>loan status</t>
  </si>
  <si>
    <t>present</t>
  </si>
  <si>
    <t>status</t>
  </si>
  <si>
    <t>NUMBER 1</t>
  </si>
  <si>
    <t>NUMBER 2</t>
  </si>
  <si>
    <t>RESULT</t>
  </si>
  <si>
    <t>EMPLOYEE NAME</t>
  </si>
  <si>
    <t>TARGETS ACHIEVED</t>
  </si>
  <si>
    <t>ATTENDANCE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</si>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</sst>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D059-68A4-42EE-9053-A6DF5B2D5D69}">
  <dimension ref="A3:D23"/>
  <sheetViews>
    <sheetView tabSelected="1" workbookViewId="0">
      <selection activeCell="H14" sqref="H14"/>
    </sheetView>
  </sheetViews>
  <sheetFormatPr defaultRowHeight="15" x14ac:dyDescent="0.25"/>
  <cols>
    <col min="1" max="1" width="6.7109375" bestFit="1" customWidth="1"/>
    <col min="2" max="2" width="9.7109375" bestFit="1" customWidth="1"/>
    <col min="3" max="3" width="6.28515625" bestFit="1" customWidth="1"/>
    <col min="4" max="4" width="6.140625" bestFit="1" customWidth="1"/>
  </cols>
  <sheetData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2">
        <v>1</v>
      </c>
      <c r="B4" s="2" t="s">
        <v>4</v>
      </c>
      <c r="C4" s="2">
        <v>69</v>
      </c>
      <c r="D4" s="2" t="str">
        <f>IF(C4&gt;=40,"pass","fail")</f>
        <v>pass</v>
      </c>
    </row>
    <row r="5" spans="1:4" x14ac:dyDescent="0.25">
      <c r="A5" s="2">
        <v>2</v>
      </c>
      <c r="B5" s="2" t="s">
        <v>5</v>
      </c>
      <c r="C5" s="2">
        <v>32</v>
      </c>
      <c r="D5" s="2" t="str">
        <f t="shared" ref="D5:D23" si="0">IF(C5&gt;=40,"pass","fail")</f>
        <v>fail</v>
      </c>
    </row>
    <row r="6" spans="1:4" x14ac:dyDescent="0.25">
      <c r="A6" s="2">
        <v>3</v>
      </c>
      <c r="B6" s="2" t="s">
        <v>6</v>
      </c>
      <c r="C6" s="2">
        <v>42</v>
      </c>
      <c r="D6" s="2" t="str">
        <f t="shared" si="0"/>
        <v>pass</v>
      </c>
    </row>
    <row r="7" spans="1:4" x14ac:dyDescent="0.25">
      <c r="A7" s="2">
        <v>4</v>
      </c>
      <c r="B7" s="2" t="s">
        <v>7</v>
      </c>
      <c r="C7" s="2">
        <v>60</v>
      </c>
      <c r="D7" s="2" t="str">
        <f t="shared" si="0"/>
        <v>pass</v>
      </c>
    </row>
    <row r="8" spans="1:4" x14ac:dyDescent="0.25">
      <c r="A8" s="2">
        <v>5</v>
      </c>
      <c r="B8" s="2" t="s">
        <v>8</v>
      </c>
      <c r="C8" s="2">
        <v>46</v>
      </c>
      <c r="D8" s="2" t="str">
        <f t="shared" si="0"/>
        <v>pass</v>
      </c>
    </row>
    <row r="9" spans="1:4" x14ac:dyDescent="0.25">
      <c r="A9" s="2">
        <v>6</v>
      </c>
      <c r="B9" s="2" t="s">
        <v>9</v>
      </c>
      <c r="C9" s="2">
        <v>83</v>
      </c>
      <c r="D9" s="2" t="str">
        <f t="shared" si="0"/>
        <v>pass</v>
      </c>
    </row>
    <row r="10" spans="1:4" x14ac:dyDescent="0.25">
      <c r="A10" s="2">
        <v>7</v>
      </c>
      <c r="B10" s="2" t="s">
        <v>10</v>
      </c>
      <c r="C10" s="2">
        <v>62</v>
      </c>
      <c r="D10" s="2" t="str">
        <f t="shared" si="0"/>
        <v>pass</v>
      </c>
    </row>
    <row r="11" spans="1:4" x14ac:dyDescent="0.25">
      <c r="A11" s="2">
        <v>8</v>
      </c>
      <c r="B11" s="2" t="s">
        <v>11</v>
      </c>
      <c r="C11" s="2">
        <v>47</v>
      </c>
      <c r="D11" s="2" t="str">
        <f t="shared" si="0"/>
        <v>pass</v>
      </c>
    </row>
    <row r="12" spans="1:4" x14ac:dyDescent="0.25">
      <c r="A12" s="2">
        <v>9</v>
      </c>
      <c r="B12" s="2" t="s">
        <v>12</v>
      </c>
      <c r="C12" s="2">
        <v>81</v>
      </c>
      <c r="D12" s="2" t="str">
        <f t="shared" si="0"/>
        <v>pass</v>
      </c>
    </row>
    <row r="13" spans="1:4" x14ac:dyDescent="0.25">
      <c r="A13" s="2">
        <v>10</v>
      </c>
      <c r="B13" s="2" t="s">
        <v>13</v>
      </c>
      <c r="C13" s="2">
        <v>38</v>
      </c>
      <c r="D13" s="2" t="str">
        <f t="shared" si="0"/>
        <v>fail</v>
      </c>
    </row>
    <row r="14" spans="1:4" x14ac:dyDescent="0.25">
      <c r="A14" s="2">
        <v>11</v>
      </c>
      <c r="B14" s="2" t="s">
        <v>14</v>
      </c>
      <c r="C14" s="2">
        <v>68</v>
      </c>
      <c r="D14" s="2" t="str">
        <f t="shared" si="0"/>
        <v>pass</v>
      </c>
    </row>
    <row r="15" spans="1:4" x14ac:dyDescent="0.25">
      <c r="A15" s="2">
        <v>12</v>
      </c>
      <c r="B15" s="2" t="s">
        <v>15</v>
      </c>
      <c r="C15" s="2">
        <v>63</v>
      </c>
      <c r="D15" s="2" t="str">
        <f t="shared" si="0"/>
        <v>pass</v>
      </c>
    </row>
    <row r="16" spans="1:4" x14ac:dyDescent="0.25">
      <c r="A16" s="2">
        <v>13</v>
      </c>
      <c r="B16" s="2" t="s">
        <v>16</v>
      </c>
      <c r="C16" s="2">
        <v>76</v>
      </c>
      <c r="D16" s="2" t="str">
        <f t="shared" si="0"/>
        <v>pass</v>
      </c>
    </row>
    <row r="17" spans="1:4" x14ac:dyDescent="0.25">
      <c r="A17" s="2">
        <v>14</v>
      </c>
      <c r="B17" s="2" t="s">
        <v>17</v>
      </c>
      <c r="C17" s="2">
        <v>57</v>
      </c>
      <c r="D17" s="2" t="str">
        <f t="shared" si="0"/>
        <v>pass</v>
      </c>
    </row>
    <row r="18" spans="1:4" x14ac:dyDescent="0.25">
      <c r="A18" s="2">
        <v>15</v>
      </c>
      <c r="B18" s="2" t="s">
        <v>18</v>
      </c>
      <c r="C18" s="2">
        <v>50</v>
      </c>
      <c r="D18" s="2" t="str">
        <f t="shared" si="0"/>
        <v>pass</v>
      </c>
    </row>
    <row r="19" spans="1:4" x14ac:dyDescent="0.25">
      <c r="A19" s="2">
        <v>16</v>
      </c>
      <c r="B19" s="2" t="s">
        <v>6</v>
      </c>
      <c r="C19" s="2">
        <v>85</v>
      </c>
      <c r="D19" s="2" t="str">
        <f t="shared" si="0"/>
        <v>pass</v>
      </c>
    </row>
    <row r="20" spans="1:4" x14ac:dyDescent="0.25">
      <c r="A20" s="2">
        <v>17</v>
      </c>
      <c r="B20" s="2" t="s">
        <v>19</v>
      </c>
      <c r="C20" s="2">
        <v>51</v>
      </c>
      <c r="D20" s="2" t="str">
        <f t="shared" si="0"/>
        <v>pass</v>
      </c>
    </row>
    <row r="21" spans="1:4" x14ac:dyDescent="0.25">
      <c r="A21" s="2">
        <v>18</v>
      </c>
      <c r="B21" s="2" t="s">
        <v>20</v>
      </c>
      <c r="C21" s="2">
        <v>72</v>
      </c>
      <c r="D21" s="2" t="str">
        <f t="shared" si="0"/>
        <v>pass</v>
      </c>
    </row>
    <row r="22" spans="1:4" x14ac:dyDescent="0.25">
      <c r="A22" s="2">
        <v>19</v>
      </c>
      <c r="B22" s="2" t="s">
        <v>21</v>
      </c>
      <c r="C22" s="2">
        <v>70</v>
      </c>
      <c r="D22" s="2" t="str">
        <f t="shared" si="0"/>
        <v>pass</v>
      </c>
    </row>
    <row r="23" spans="1:4" x14ac:dyDescent="0.25">
      <c r="A23" s="2">
        <v>20</v>
      </c>
      <c r="B23" s="2" t="s">
        <v>22</v>
      </c>
      <c r="C23" s="2">
        <v>61</v>
      </c>
      <c r="D23" s="2" t="str">
        <f t="shared" si="0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B2D2-57EC-4EB5-A710-93D285EC7558}">
  <dimension ref="A2:C22"/>
  <sheetViews>
    <sheetView workbookViewId="0">
      <selection activeCell="E13" sqref="E13"/>
    </sheetView>
  </sheetViews>
  <sheetFormatPr defaultRowHeight="15" x14ac:dyDescent="0.25"/>
  <cols>
    <col min="1" max="1" width="15.5703125" bestFit="1" customWidth="1"/>
    <col min="2" max="2" width="6.140625" bestFit="1" customWidth="1"/>
    <col min="3" max="3" width="12.140625" bestFit="1" customWidth="1"/>
  </cols>
  <sheetData>
    <row r="2" spans="1:3" x14ac:dyDescent="0.25">
      <c r="A2" s="4" t="s">
        <v>23</v>
      </c>
      <c r="B2" s="4" t="s">
        <v>24</v>
      </c>
      <c r="C2" s="4" t="s">
        <v>25</v>
      </c>
    </row>
    <row r="3" spans="1:3" x14ac:dyDescent="0.25">
      <c r="A3" s="4" t="s">
        <v>4</v>
      </c>
      <c r="B3" s="4">
        <v>29829</v>
      </c>
      <c r="C3" s="4" t="str">
        <f>IF(B3&gt;=40000,"bouns","no bouns")</f>
        <v>no bouns</v>
      </c>
    </row>
    <row r="4" spans="1:3" x14ac:dyDescent="0.25">
      <c r="A4" s="4" t="s">
        <v>5</v>
      </c>
      <c r="B4" s="4">
        <v>45884</v>
      </c>
      <c r="C4" s="4" t="str">
        <f t="shared" ref="C4:C22" si="0">IF(B4&gt;=40000,"bouns","no bouns")</f>
        <v>bouns</v>
      </c>
    </row>
    <row r="5" spans="1:3" x14ac:dyDescent="0.25">
      <c r="A5" s="4" t="s">
        <v>6</v>
      </c>
      <c r="B5" s="4">
        <v>26610</v>
      </c>
      <c r="C5" s="4" t="str">
        <f t="shared" si="0"/>
        <v>no bouns</v>
      </c>
    </row>
    <row r="6" spans="1:3" x14ac:dyDescent="0.25">
      <c r="A6" s="4" t="s">
        <v>7</v>
      </c>
      <c r="B6" s="4">
        <v>54305</v>
      </c>
      <c r="C6" s="4" t="str">
        <f t="shared" si="0"/>
        <v>bouns</v>
      </c>
    </row>
    <row r="7" spans="1:3" x14ac:dyDescent="0.25">
      <c r="A7" s="4" t="s">
        <v>8</v>
      </c>
      <c r="B7" s="4">
        <v>51105</v>
      </c>
      <c r="C7" s="4" t="str">
        <f t="shared" si="0"/>
        <v>bouns</v>
      </c>
    </row>
    <row r="8" spans="1:3" x14ac:dyDescent="0.25">
      <c r="A8" s="4" t="s">
        <v>9</v>
      </c>
      <c r="B8" s="4">
        <v>36981</v>
      </c>
      <c r="C8" s="4" t="str">
        <f t="shared" si="0"/>
        <v>no bouns</v>
      </c>
    </row>
    <row r="9" spans="1:3" x14ac:dyDescent="0.25">
      <c r="A9" s="4" t="s">
        <v>10</v>
      </c>
      <c r="B9" s="4">
        <v>30103</v>
      </c>
      <c r="C9" s="4" t="str">
        <f t="shared" si="0"/>
        <v>no bouns</v>
      </c>
    </row>
    <row r="10" spans="1:3" x14ac:dyDescent="0.25">
      <c r="A10" s="4" t="s">
        <v>11</v>
      </c>
      <c r="B10" s="4">
        <v>42075</v>
      </c>
      <c r="C10" s="4" t="str">
        <f t="shared" si="0"/>
        <v>bouns</v>
      </c>
    </row>
    <row r="11" spans="1:3" x14ac:dyDescent="0.25">
      <c r="A11" s="4" t="s">
        <v>12</v>
      </c>
      <c r="B11" s="4">
        <v>49482</v>
      </c>
      <c r="C11" s="4" t="str">
        <f t="shared" si="0"/>
        <v>bouns</v>
      </c>
    </row>
    <row r="12" spans="1:3" x14ac:dyDescent="0.25">
      <c r="A12" s="4" t="s">
        <v>13</v>
      </c>
      <c r="B12" s="4">
        <v>41052</v>
      </c>
      <c r="C12" s="4" t="str">
        <f t="shared" si="0"/>
        <v>bouns</v>
      </c>
    </row>
    <row r="13" spans="1:3" x14ac:dyDescent="0.25">
      <c r="A13" s="4" t="s">
        <v>14</v>
      </c>
      <c r="B13" s="4">
        <v>37172</v>
      </c>
      <c r="C13" s="4" t="str">
        <f t="shared" si="0"/>
        <v>no bouns</v>
      </c>
    </row>
    <row r="14" spans="1:3" x14ac:dyDescent="0.25">
      <c r="A14" s="4" t="s">
        <v>15</v>
      </c>
      <c r="B14" s="4">
        <v>30109</v>
      </c>
      <c r="C14" s="4" t="str">
        <f t="shared" si="0"/>
        <v>no bouns</v>
      </c>
    </row>
    <row r="15" spans="1:3" x14ac:dyDescent="0.25">
      <c r="A15" s="4" t="s">
        <v>16</v>
      </c>
      <c r="B15" s="4">
        <v>47683</v>
      </c>
      <c r="C15" s="4" t="str">
        <f t="shared" si="0"/>
        <v>bouns</v>
      </c>
    </row>
    <row r="16" spans="1:3" x14ac:dyDescent="0.25">
      <c r="A16" s="4" t="s">
        <v>17</v>
      </c>
      <c r="B16" s="4">
        <v>48073</v>
      </c>
      <c r="C16" s="4" t="str">
        <f t="shared" si="0"/>
        <v>bouns</v>
      </c>
    </row>
    <row r="17" spans="1:3" x14ac:dyDescent="0.25">
      <c r="A17" s="4" t="s">
        <v>18</v>
      </c>
      <c r="B17" s="4">
        <v>29322</v>
      </c>
      <c r="C17" s="4" t="str">
        <f t="shared" si="0"/>
        <v>no bouns</v>
      </c>
    </row>
    <row r="18" spans="1:3" x14ac:dyDescent="0.25">
      <c r="A18" s="4" t="s">
        <v>6</v>
      </c>
      <c r="B18" s="4">
        <v>37089</v>
      </c>
      <c r="C18" s="4" t="str">
        <f t="shared" si="0"/>
        <v>no bouns</v>
      </c>
    </row>
    <row r="19" spans="1:3" x14ac:dyDescent="0.25">
      <c r="A19" s="4" t="s">
        <v>19</v>
      </c>
      <c r="B19" s="4">
        <v>34312</v>
      </c>
      <c r="C19" s="4" t="str">
        <f t="shared" si="0"/>
        <v>no bouns</v>
      </c>
    </row>
    <row r="20" spans="1:3" x14ac:dyDescent="0.25">
      <c r="A20" s="4" t="s">
        <v>20</v>
      </c>
      <c r="B20" s="4">
        <v>49105</v>
      </c>
      <c r="C20" s="4" t="str">
        <f t="shared" si="0"/>
        <v>bouns</v>
      </c>
    </row>
    <row r="21" spans="1:3" x14ac:dyDescent="0.25">
      <c r="A21" s="4" t="s">
        <v>21</v>
      </c>
      <c r="B21" s="4">
        <v>39053</v>
      </c>
      <c r="C21" s="4" t="str">
        <f t="shared" si="0"/>
        <v>no bouns</v>
      </c>
    </row>
    <row r="22" spans="1:3" x14ac:dyDescent="0.25">
      <c r="A22" s="4" t="s">
        <v>22</v>
      </c>
      <c r="B22" s="4">
        <v>28191</v>
      </c>
      <c r="C22" s="4" t="str">
        <f t="shared" si="0"/>
        <v>no bouns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226F-F5E3-47AC-B653-372EBC854792}">
  <dimension ref="A3:C23"/>
  <sheetViews>
    <sheetView workbookViewId="0">
      <selection activeCell="D35" sqref="D35"/>
    </sheetView>
  </sheetViews>
  <sheetFormatPr defaultRowHeight="15" x14ac:dyDescent="0.25"/>
  <cols>
    <col min="1" max="1" width="13.42578125" bestFit="1" customWidth="1"/>
    <col min="2" max="2" width="6.28515625" bestFit="1" customWidth="1"/>
    <col min="3" max="3" width="6" bestFit="1" customWidth="1"/>
  </cols>
  <sheetData>
    <row r="3" spans="1:3" x14ac:dyDescent="0.25">
      <c r="A3" s="1" t="s">
        <v>26</v>
      </c>
      <c r="B3" s="1" t="s">
        <v>2</v>
      </c>
      <c r="C3" s="1" t="s">
        <v>27</v>
      </c>
    </row>
    <row r="4" spans="1:3" x14ac:dyDescent="0.25">
      <c r="A4" s="1" t="s">
        <v>4</v>
      </c>
      <c r="B4" s="1">
        <v>36</v>
      </c>
      <c r="C4" s="1" t="str" cm="1">
        <f t="array" ref="C4">_xlfn.IFS(B4&gt;=75,"A",B4&gt;=60,"B",B4&gt;=40,"C",B4&lt;40,"fail")</f>
        <v>fail</v>
      </c>
    </row>
    <row r="5" spans="1:3" x14ac:dyDescent="0.25">
      <c r="A5" s="1" t="s">
        <v>5</v>
      </c>
      <c r="B5" s="1">
        <v>62</v>
      </c>
      <c r="C5" s="1" t="str" cm="1">
        <f t="array" ref="C5">_xlfn.IFS(B5&gt;=75,"A",B5&gt;=60,"B",B5&gt;=40,"C",B5&lt;40,"fail")</f>
        <v>B</v>
      </c>
    </row>
    <row r="6" spans="1:3" x14ac:dyDescent="0.25">
      <c r="A6" s="1" t="s">
        <v>6</v>
      </c>
      <c r="B6" s="1">
        <v>62</v>
      </c>
      <c r="C6" s="1" t="str" cm="1">
        <f t="array" ref="C6">_xlfn.IFS(B6&gt;=75,"A",B6&gt;=60,"B",B6&gt;=40,"C",B6&lt;40,"fail")</f>
        <v>B</v>
      </c>
    </row>
    <row r="7" spans="1:3" x14ac:dyDescent="0.25">
      <c r="A7" s="1" t="s">
        <v>7</v>
      </c>
      <c r="B7" s="1">
        <v>33</v>
      </c>
      <c r="C7" s="1" t="str" cm="1">
        <f t="array" ref="C7">_xlfn.IFS(B7&gt;=75,"A",B7&gt;=60,"B",B7&gt;=40,"C",B7&lt;40,"fail")</f>
        <v>fail</v>
      </c>
    </row>
    <row r="8" spans="1:3" x14ac:dyDescent="0.25">
      <c r="A8" s="1" t="s">
        <v>8</v>
      </c>
      <c r="B8" s="1">
        <v>77</v>
      </c>
      <c r="C8" s="1" t="str" cm="1">
        <f t="array" ref="C8">_xlfn.IFS(B8&gt;=75,"A",B8&gt;=60,"B",B8&gt;=40,"C",B8&lt;40,"fail")</f>
        <v>A</v>
      </c>
    </row>
    <row r="9" spans="1:3" x14ac:dyDescent="0.25">
      <c r="A9" s="1" t="s">
        <v>9</v>
      </c>
      <c r="B9" s="1">
        <v>81</v>
      </c>
      <c r="C9" s="1" t="str" cm="1">
        <f t="array" ref="C9">_xlfn.IFS(B9&gt;=75,"A",B9&gt;=60,"B",B9&gt;=40,"C",B9&lt;40,"fail")</f>
        <v>A</v>
      </c>
    </row>
    <row r="10" spans="1:3" x14ac:dyDescent="0.25">
      <c r="A10" s="1" t="s">
        <v>10</v>
      </c>
      <c r="B10" s="1">
        <v>51</v>
      </c>
      <c r="C10" s="1" t="str" cm="1">
        <f t="array" ref="C10">_xlfn.IFS(B10&gt;=75,"A",B10&gt;=60,"B",B10&gt;=40,"C",B10&lt;40,"fail")</f>
        <v>C</v>
      </c>
    </row>
    <row r="11" spans="1:3" x14ac:dyDescent="0.25">
      <c r="A11" s="1" t="s">
        <v>11</v>
      </c>
      <c r="B11" s="1">
        <v>57</v>
      </c>
      <c r="C11" s="1" t="str" cm="1">
        <f t="array" ref="C11">_xlfn.IFS(B11&gt;=75,"A",B11&gt;=60,"B",B11&gt;=40,"C",B11&lt;40,"fail")</f>
        <v>C</v>
      </c>
    </row>
    <row r="12" spans="1:3" x14ac:dyDescent="0.25">
      <c r="A12" s="1" t="s">
        <v>12</v>
      </c>
      <c r="B12" s="1">
        <v>71</v>
      </c>
      <c r="C12" s="1" t="str" cm="1">
        <f t="array" ref="C12">_xlfn.IFS(B12&gt;=75,"A",B12&gt;=60,"B",B12&gt;=40,"C",B12&lt;40,"fail")</f>
        <v>B</v>
      </c>
    </row>
    <row r="13" spans="1:3" x14ac:dyDescent="0.25">
      <c r="A13" s="1" t="s">
        <v>13</v>
      </c>
      <c r="B13" s="1">
        <v>66</v>
      </c>
      <c r="C13" s="1" t="str" cm="1">
        <f t="array" ref="C13">_xlfn.IFS(B13&gt;=75,"A",B13&gt;=60,"B",B13&gt;=40,"C",B13&lt;40,"fail")</f>
        <v>B</v>
      </c>
    </row>
    <row r="14" spans="1:3" x14ac:dyDescent="0.25">
      <c r="A14" s="1" t="s">
        <v>14</v>
      </c>
      <c r="B14" s="1">
        <v>51</v>
      </c>
      <c r="C14" s="1" t="str" cm="1">
        <f t="array" ref="C14">_xlfn.IFS(B14&gt;=75,"A",B14&gt;=60,"B",B14&gt;=40,"C",B14&lt;40,"fail")</f>
        <v>C</v>
      </c>
    </row>
    <row r="15" spans="1:3" x14ac:dyDescent="0.25">
      <c r="A15" s="1" t="s">
        <v>15</v>
      </c>
      <c r="B15" s="1">
        <v>58</v>
      </c>
      <c r="C15" s="1" t="str" cm="1">
        <f t="array" ref="C15">_xlfn.IFS(B15&gt;=75,"A",B15&gt;=60,"B",B15&gt;=40,"C",B15&lt;40,"fail")</f>
        <v>C</v>
      </c>
    </row>
    <row r="16" spans="1:3" x14ac:dyDescent="0.25">
      <c r="A16" s="1" t="s">
        <v>16</v>
      </c>
      <c r="B16" s="1">
        <v>55</v>
      </c>
      <c r="C16" s="1" t="str" cm="1">
        <f t="array" ref="C16">_xlfn.IFS(B16&gt;=75,"A",B16&gt;=60,"B",B16&gt;=40,"C",B16&lt;40,"fail")</f>
        <v>C</v>
      </c>
    </row>
    <row r="17" spans="1:3" x14ac:dyDescent="0.25">
      <c r="A17" s="1" t="s">
        <v>17</v>
      </c>
      <c r="B17" s="1">
        <v>87</v>
      </c>
      <c r="C17" s="1" t="str" cm="1">
        <f t="array" ref="C17">_xlfn.IFS(B17&gt;=75,"A",B17&gt;=60,"B",B17&gt;=40,"C",B17&lt;40,"fail")</f>
        <v>A</v>
      </c>
    </row>
    <row r="18" spans="1:3" x14ac:dyDescent="0.25">
      <c r="A18" s="1" t="s">
        <v>18</v>
      </c>
      <c r="B18" s="1">
        <v>39</v>
      </c>
      <c r="C18" s="1" t="str" cm="1">
        <f t="array" ref="C18">_xlfn.IFS(B18&gt;=75,"A",B18&gt;=60,"B",B18&gt;=40,"C",B18&lt;40,"fail")</f>
        <v>fail</v>
      </c>
    </row>
    <row r="19" spans="1:3" x14ac:dyDescent="0.25">
      <c r="A19" s="1" t="s">
        <v>6</v>
      </c>
      <c r="B19" s="1">
        <v>59</v>
      </c>
      <c r="C19" s="1" t="str" cm="1">
        <f t="array" ref="C19">_xlfn.IFS(B19&gt;=75,"A",B19&gt;=60,"B",B19&gt;=40,"C",B19&lt;40,"fail")</f>
        <v>C</v>
      </c>
    </row>
    <row r="20" spans="1:3" x14ac:dyDescent="0.25">
      <c r="A20" s="1" t="s">
        <v>19</v>
      </c>
      <c r="B20" s="1">
        <v>81</v>
      </c>
      <c r="C20" s="1" t="str" cm="1">
        <f t="array" ref="C20">_xlfn.IFS(B20&gt;=75,"A",B20&gt;=60,"B",B20&gt;=40,"C",B20&lt;40,"fail")</f>
        <v>A</v>
      </c>
    </row>
    <row r="21" spans="1:3" x14ac:dyDescent="0.25">
      <c r="A21" s="1" t="s">
        <v>20</v>
      </c>
      <c r="B21" s="1">
        <v>50</v>
      </c>
      <c r="C21" s="1" t="str" cm="1">
        <f t="array" ref="C21">_xlfn.IFS(B21&gt;=75,"A",B21&gt;=60,"B",B21&gt;=40,"C",B21&lt;40,"fail")</f>
        <v>C</v>
      </c>
    </row>
    <row r="22" spans="1:3" x14ac:dyDescent="0.25">
      <c r="A22" s="1" t="s">
        <v>21</v>
      </c>
      <c r="B22" s="1">
        <v>65</v>
      </c>
      <c r="C22" s="1" t="str" cm="1">
        <f t="array" ref="C22">_xlfn.IFS(B22&gt;=75,"A",B22&gt;=60,"B",B22&gt;=40,"C",B22&lt;40,"fail")</f>
        <v>B</v>
      </c>
    </row>
    <row r="23" spans="1:3" x14ac:dyDescent="0.25">
      <c r="A23" s="1" t="s">
        <v>22</v>
      </c>
      <c r="B23" s="1">
        <v>88</v>
      </c>
      <c r="C23" s="1" t="str" cm="1">
        <f t="array" ref="C23">_xlfn.IFS(B23&gt;=75,"A",B23&gt;=60,"B",B23&gt;=40,"C",B23&lt;40,"fail")</f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C8D4-EFE7-4EC3-8B6B-EC807BD123D1}">
  <dimension ref="A3:D23"/>
  <sheetViews>
    <sheetView workbookViewId="0">
      <selection activeCell="E34" sqref="E34"/>
    </sheetView>
  </sheetViews>
  <sheetFormatPr defaultRowHeight="15" x14ac:dyDescent="0.25"/>
  <cols>
    <col min="1" max="1" width="9.7109375" bestFit="1" customWidth="1"/>
    <col min="2" max="2" width="4.140625" bestFit="1" customWidth="1"/>
    <col min="3" max="3" width="11" bestFit="1" customWidth="1"/>
    <col min="4" max="4" width="11.140625" bestFit="1" customWidth="1"/>
  </cols>
  <sheetData>
    <row r="3" spans="1:4" x14ac:dyDescent="0.25">
      <c r="A3" s="1" t="s">
        <v>28</v>
      </c>
      <c r="B3" s="1" t="s">
        <v>29</v>
      </c>
      <c r="C3" s="1" t="s">
        <v>30</v>
      </c>
      <c r="D3" s="1" t="s">
        <v>31</v>
      </c>
    </row>
    <row r="4" spans="1:4" x14ac:dyDescent="0.25">
      <c r="A4" s="1" t="s">
        <v>4</v>
      </c>
      <c r="B4" s="1">
        <v>37</v>
      </c>
      <c r="C4" s="1">
        <v>2</v>
      </c>
      <c r="D4" s="1" t="str">
        <f>IF(AND(B4&gt;=21,C4&gt;=1),"eligible","not eligible")</f>
        <v>eligible</v>
      </c>
    </row>
    <row r="5" spans="1:4" x14ac:dyDescent="0.25">
      <c r="A5" s="1" t="s">
        <v>5</v>
      </c>
      <c r="B5" s="1">
        <v>38</v>
      </c>
      <c r="C5" s="1">
        <v>0</v>
      </c>
      <c r="D5" s="1" t="str">
        <f t="shared" ref="D5:D23" si="0">IF(AND(B5&gt;=21,C5&gt;=1),"eligible","not eligible")</f>
        <v>not eligible</v>
      </c>
    </row>
    <row r="6" spans="1:4" x14ac:dyDescent="0.25">
      <c r="A6" s="1" t="s">
        <v>6</v>
      </c>
      <c r="B6" s="1">
        <v>36</v>
      </c>
      <c r="C6" s="1">
        <v>1</v>
      </c>
      <c r="D6" s="1" t="str">
        <f t="shared" si="0"/>
        <v>eligible</v>
      </c>
    </row>
    <row r="7" spans="1:4" x14ac:dyDescent="0.25">
      <c r="A7" s="1" t="s">
        <v>7</v>
      </c>
      <c r="B7" s="1">
        <v>37</v>
      </c>
      <c r="C7" s="1">
        <v>5</v>
      </c>
      <c r="D7" s="1" t="str">
        <f t="shared" si="0"/>
        <v>eligible</v>
      </c>
    </row>
    <row r="8" spans="1:4" x14ac:dyDescent="0.25">
      <c r="A8" s="1" t="s">
        <v>8</v>
      </c>
      <c r="B8" s="1">
        <v>28</v>
      </c>
      <c r="C8" s="1">
        <v>0</v>
      </c>
      <c r="D8" s="1" t="str">
        <f t="shared" si="0"/>
        <v>not eligible</v>
      </c>
    </row>
    <row r="9" spans="1:4" x14ac:dyDescent="0.25">
      <c r="A9" s="1" t="s">
        <v>9</v>
      </c>
      <c r="B9" s="1">
        <v>33</v>
      </c>
      <c r="C9" s="1">
        <v>3</v>
      </c>
      <c r="D9" s="1" t="str">
        <f t="shared" si="0"/>
        <v>eligible</v>
      </c>
    </row>
    <row r="10" spans="1:4" x14ac:dyDescent="0.25">
      <c r="A10" s="1" t="s">
        <v>10</v>
      </c>
      <c r="B10" s="1">
        <v>36</v>
      </c>
      <c r="C10" s="1">
        <v>0</v>
      </c>
      <c r="D10" s="1" t="str">
        <f t="shared" si="0"/>
        <v>not eligible</v>
      </c>
    </row>
    <row r="11" spans="1:4" x14ac:dyDescent="0.25">
      <c r="A11" s="1" t="s">
        <v>11</v>
      </c>
      <c r="B11" s="1">
        <v>38</v>
      </c>
      <c r="C11" s="1">
        <v>1</v>
      </c>
      <c r="D11" s="1" t="str">
        <f t="shared" si="0"/>
        <v>eligible</v>
      </c>
    </row>
    <row r="12" spans="1:4" x14ac:dyDescent="0.25">
      <c r="A12" s="1" t="s">
        <v>12</v>
      </c>
      <c r="B12" s="1">
        <v>25</v>
      </c>
      <c r="C12" s="1">
        <v>5</v>
      </c>
      <c r="D12" s="1" t="str">
        <f t="shared" si="0"/>
        <v>eligible</v>
      </c>
    </row>
    <row r="13" spans="1:4" x14ac:dyDescent="0.25">
      <c r="A13" s="1" t="s">
        <v>13</v>
      </c>
      <c r="B13" s="1">
        <v>35</v>
      </c>
      <c r="C13" s="1">
        <v>0</v>
      </c>
      <c r="D13" s="1" t="str">
        <f t="shared" si="0"/>
        <v>not eligible</v>
      </c>
    </row>
    <row r="14" spans="1:4" x14ac:dyDescent="0.25">
      <c r="A14" s="1" t="s">
        <v>14</v>
      </c>
      <c r="B14" s="1">
        <v>36</v>
      </c>
      <c r="C14" s="1">
        <v>2</v>
      </c>
      <c r="D14" s="1" t="str">
        <f t="shared" si="0"/>
        <v>eligible</v>
      </c>
    </row>
    <row r="15" spans="1:4" x14ac:dyDescent="0.25">
      <c r="A15" s="1" t="s">
        <v>15</v>
      </c>
      <c r="B15" s="1">
        <v>31</v>
      </c>
      <c r="C15" s="1">
        <v>3</v>
      </c>
      <c r="D15" s="1" t="str">
        <f t="shared" si="0"/>
        <v>eligible</v>
      </c>
    </row>
    <row r="16" spans="1:4" x14ac:dyDescent="0.25">
      <c r="A16" s="1" t="s">
        <v>16</v>
      </c>
      <c r="B16" s="1">
        <v>25</v>
      </c>
      <c r="C16" s="1">
        <v>1</v>
      </c>
      <c r="D16" s="1" t="str">
        <f t="shared" si="0"/>
        <v>eligible</v>
      </c>
    </row>
    <row r="17" spans="1:4" x14ac:dyDescent="0.25">
      <c r="A17" s="1" t="s">
        <v>17</v>
      </c>
      <c r="B17" s="1">
        <v>25</v>
      </c>
      <c r="C17" s="1">
        <v>0</v>
      </c>
      <c r="D17" s="1" t="str">
        <f t="shared" si="0"/>
        <v>not eligible</v>
      </c>
    </row>
    <row r="18" spans="1:4" x14ac:dyDescent="0.25">
      <c r="A18" s="1" t="s">
        <v>18</v>
      </c>
      <c r="B18" s="1">
        <v>35</v>
      </c>
      <c r="C18" s="1">
        <v>5</v>
      </c>
      <c r="D18" s="1" t="str">
        <f t="shared" si="0"/>
        <v>eligible</v>
      </c>
    </row>
    <row r="19" spans="1:4" x14ac:dyDescent="0.25">
      <c r="A19" s="1" t="s">
        <v>6</v>
      </c>
      <c r="B19" s="1">
        <v>25</v>
      </c>
      <c r="C19" s="1">
        <v>2</v>
      </c>
      <c r="D19" s="1" t="str">
        <f t="shared" si="0"/>
        <v>eligible</v>
      </c>
    </row>
    <row r="20" spans="1:4" x14ac:dyDescent="0.25">
      <c r="A20" s="1" t="s">
        <v>19</v>
      </c>
      <c r="B20" s="1">
        <v>29</v>
      </c>
      <c r="C20" s="1">
        <v>0</v>
      </c>
      <c r="D20" s="1" t="str">
        <f t="shared" si="0"/>
        <v>not eligible</v>
      </c>
    </row>
    <row r="21" spans="1:4" x14ac:dyDescent="0.25">
      <c r="A21" s="1" t="s">
        <v>20</v>
      </c>
      <c r="B21" s="1">
        <v>27</v>
      </c>
      <c r="C21" s="1">
        <v>5</v>
      </c>
      <c r="D21" s="1" t="str">
        <f t="shared" si="0"/>
        <v>eligible</v>
      </c>
    </row>
    <row r="22" spans="1:4" x14ac:dyDescent="0.25">
      <c r="A22" s="1" t="s">
        <v>21</v>
      </c>
      <c r="B22" s="1">
        <v>29</v>
      </c>
      <c r="C22" s="1">
        <v>2</v>
      </c>
      <c r="D22" s="1" t="str">
        <f t="shared" si="0"/>
        <v>eligible</v>
      </c>
    </row>
    <row r="23" spans="1:4" x14ac:dyDescent="0.25">
      <c r="A23" s="1" t="s">
        <v>22</v>
      </c>
      <c r="B23" s="1">
        <v>35</v>
      </c>
      <c r="C23" s="1">
        <v>1</v>
      </c>
      <c r="D23" s="1" t="str">
        <f t="shared" si="0"/>
        <v>eligible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798D-1A96-4130-AA69-AA418AB88D83}">
  <dimension ref="A3:D23"/>
  <sheetViews>
    <sheetView workbookViewId="0">
      <selection activeCell="D36" sqref="D36"/>
    </sheetView>
  </sheetViews>
  <sheetFormatPr defaultRowHeight="15" x14ac:dyDescent="0.25"/>
  <cols>
    <col min="1" max="1" width="13.42578125" bestFit="1" customWidth="1"/>
    <col min="2" max="2" width="11" bestFit="1" customWidth="1"/>
    <col min="3" max="3" width="21" bestFit="1" customWidth="1"/>
    <col min="4" max="4" width="11.140625" bestFit="1" customWidth="1"/>
  </cols>
  <sheetData>
    <row r="3" spans="1:4" x14ac:dyDescent="0.25">
      <c r="A3" s="1" t="s">
        <v>26</v>
      </c>
      <c r="B3" s="1" t="s">
        <v>32</v>
      </c>
      <c r="C3" s="1" t="s">
        <v>33</v>
      </c>
      <c r="D3" s="1"/>
    </row>
    <row r="4" spans="1:4" x14ac:dyDescent="0.25">
      <c r="A4" s="1" t="s">
        <v>4</v>
      </c>
      <c r="B4" s="1">
        <v>69</v>
      </c>
      <c r="C4" s="1" t="s">
        <v>34</v>
      </c>
      <c r="D4" s="1" t="str">
        <f>IF(AND(B4&gt;=75,C4="yes"),"eligible","not eligible")</f>
        <v>not eligible</v>
      </c>
    </row>
    <row r="5" spans="1:4" x14ac:dyDescent="0.25">
      <c r="A5" s="1" t="s">
        <v>5</v>
      </c>
      <c r="B5" s="1">
        <v>76</v>
      </c>
      <c r="C5" s="1" t="s">
        <v>35</v>
      </c>
      <c r="D5" s="1" t="str">
        <f t="shared" ref="D5:D23" si="0">IF(AND(B5&gt;=75,C5="yes"),"eligible","not eligible")</f>
        <v>not eligible</v>
      </c>
    </row>
    <row r="6" spans="1:4" x14ac:dyDescent="0.25">
      <c r="A6" s="1" t="s">
        <v>6</v>
      </c>
      <c r="B6" s="1">
        <v>95</v>
      </c>
      <c r="C6" s="1" t="s">
        <v>34</v>
      </c>
      <c r="D6" s="1" t="str">
        <f t="shared" si="0"/>
        <v>eligible</v>
      </c>
    </row>
    <row r="7" spans="1:4" x14ac:dyDescent="0.25">
      <c r="A7" s="1" t="s">
        <v>7</v>
      </c>
      <c r="B7" s="1">
        <v>92</v>
      </c>
      <c r="C7" s="1" t="s">
        <v>35</v>
      </c>
      <c r="D7" s="1" t="str">
        <f t="shared" si="0"/>
        <v>not eligible</v>
      </c>
    </row>
    <row r="8" spans="1:4" x14ac:dyDescent="0.25">
      <c r="A8" s="1" t="s">
        <v>8</v>
      </c>
      <c r="B8" s="1">
        <v>77</v>
      </c>
      <c r="C8" s="1" t="s">
        <v>34</v>
      </c>
      <c r="D8" s="1" t="str">
        <f t="shared" si="0"/>
        <v>eligible</v>
      </c>
    </row>
    <row r="9" spans="1:4" x14ac:dyDescent="0.25">
      <c r="A9" s="1" t="s">
        <v>9</v>
      </c>
      <c r="B9" s="1">
        <v>85</v>
      </c>
      <c r="C9" s="1" t="s">
        <v>34</v>
      </c>
      <c r="D9" s="1" t="str">
        <f t="shared" si="0"/>
        <v>eligible</v>
      </c>
    </row>
    <row r="10" spans="1:4" x14ac:dyDescent="0.25">
      <c r="A10" s="1" t="s">
        <v>10</v>
      </c>
      <c r="B10" s="1">
        <v>83</v>
      </c>
      <c r="C10" s="1" t="s">
        <v>34</v>
      </c>
      <c r="D10" s="1" t="str">
        <f t="shared" si="0"/>
        <v>eligible</v>
      </c>
    </row>
    <row r="11" spans="1:4" x14ac:dyDescent="0.25">
      <c r="A11" s="1" t="s">
        <v>11</v>
      </c>
      <c r="B11" s="1">
        <v>91</v>
      </c>
      <c r="C11" s="1" t="s">
        <v>34</v>
      </c>
      <c r="D11" s="1" t="str">
        <f t="shared" si="0"/>
        <v>eligible</v>
      </c>
    </row>
    <row r="12" spans="1:4" x14ac:dyDescent="0.25">
      <c r="A12" s="1" t="s">
        <v>12</v>
      </c>
      <c r="B12" s="1">
        <v>66</v>
      </c>
      <c r="C12" s="1" t="s">
        <v>34</v>
      </c>
      <c r="D12" s="1" t="str">
        <f t="shared" si="0"/>
        <v>not eligible</v>
      </c>
    </row>
    <row r="13" spans="1:4" x14ac:dyDescent="0.25">
      <c r="A13" s="1" t="s">
        <v>13</v>
      </c>
      <c r="B13" s="1">
        <v>90</v>
      </c>
      <c r="C13" s="1" t="s">
        <v>35</v>
      </c>
      <c r="D13" s="1" t="str">
        <f t="shared" si="0"/>
        <v>not eligible</v>
      </c>
    </row>
    <row r="14" spans="1:4" x14ac:dyDescent="0.25">
      <c r="A14" s="1" t="s">
        <v>14</v>
      </c>
      <c r="B14" s="1">
        <v>89</v>
      </c>
      <c r="C14" s="1" t="s">
        <v>34</v>
      </c>
      <c r="D14" s="1" t="str">
        <f t="shared" si="0"/>
        <v>eligible</v>
      </c>
    </row>
    <row r="15" spans="1:4" x14ac:dyDescent="0.25">
      <c r="A15" s="1" t="s">
        <v>15</v>
      </c>
      <c r="B15" s="1">
        <v>69</v>
      </c>
      <c r="C15" s="1" t="s">
        <v>35</v>
      </c>
      <c r="D15" s="1" t="str">
        <f t="shared" si="0"/>
        <v>not eligible</v>
      </c>
    </row>
    <row r="16" spans="1:4" x14ac:dyDescent="0.25">
      <c r="A16" s="1" t="s">
        <v>16</v>
      </c>
      <c r="B16" s="1">
        <v>79</v>
      </c>
      <c r="C16" s="1" t="s">
        <v>34</v>
      </c>
      <c r="D16" s="1" t="str">
        <f t="shared" si="0"/>
        <v>eligible</v>
      </c>
    </row>
    <row r="17" spans="1:4" x14ac:dyDescent="0.25">
      <c r="A17" s="1" t="s">
        <v>17</v>
      </c>
      <c r="B17" s="1">
        <v>86</v>
      </c>
      <c r="C17" s="1" t="s">
        <v>34</v>
      </c>
      <c r="D17" s="1" t="str">
        <f t="shared" si="0"/>
        <v>eligible</v>
      </c>
    </row>
    <row r="18" spans="1:4" x14ac:dyDescent="0.25">
      <c r="A18" s="1" t="s">
        <v>18</v>
      </c>
      <c r="B18" s="1">
        <v>84</v>
      </c>
      <c r="C18" s="1" t="s">
        <v>35</v>
      </c>
      <c r="D18" s="1" t="str">
        <f t="shared" si="0"/>
        <v>not eligible</v>
      </c>
    </row>
    <row r="19" spans="1:4" x14ac:dyDescent="0.25">
      <c r="A19" s="1" t="s">
        <v>6</v>
      </c>
      <c r="B19" s="1">
        <v>95</v>
      </c>
      <c r="C19" s="1" t="s">
        <v>35</v>
      </c>
      <c r="D19" s="1" t="str">
        <f t="shared" si="0"/>
        <v>not eligible</v>
      </c>
    </row>
    <row r="20" spans="1:4" x14ac:dyDescent="0.25">
      <c r="A20" s="1" t="s">
        <v>19</v>
      </c>
      <c r="B20" s="1">
        <v>78</v>
      </c>
      <c r="C20" s="1" t="s">
        <v>34</v>
      </c>
      <c r="D20" s="1" t="str">
        <f t="shared" si="0"/>
        <v>eligible</v>
      </c>
    </row>
    <row r="21" spans="1:4" x14ac:dyDescent="0.25">
      <c r="A21" s="1" t="s">
        <v>20</v>
      </c>
      <c r="B21" s="1">
        <v>74</v>
      </c>
      <c r="C21" s="1" t="s">
        <v>35</v>
      </c>
      <c r="D21" s="1" t="str">
        <f t="shared" si="0"/>
        <v>not eligible</v>
      </c>
    </row>
    <row r="22" spans="1:4" x14ac:dyDescent="0.25">
      <c r="A22" s="1" t="s">
        <v>21</v>
      </c>
      <c r="B22" s="1">
        <v>83</v>
      </c>
      <c r="C22" s="1" t="s">
        <v>35</v>
      </c>
      <c r="D22" s="1" t="str">
        <f t="shared" si="0"/>
        <v>not eligible</v>
      </c>
    </row>
    <row r="23" spans="1:4" x14ac:dyDescent="0.25">
      <c r="A23" s="1" t="s">
        <v>22</v>
      </c>
      <c r="B23" s="1">
        <v>79</v>
      </c>
      <c r="C23" s="1" t="s">
        <v>35</v>
      </c>
      <c r="D23" s="1" t="str">
        <f t="shared" si="0"/>
        <v>not 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E853-77C0-4967-B650-0256EF2F6F34}">
  <dimension ref="A2:D22"/>
  <sheetViews>
    <sheetView workbookViewId="0">
      <selection activeCell="D36" sqref="D36"/>
    </sheetView>
  </sheetViews>
  <sheetFormatPr defaultRowHeight="15" x14ac:dyDescent="0.25"/>
  <cols>
    <col min="1" max="1" width="14.85546875" bestFit="1" customWidth="1"/>
    <col min="2" max="2" width="16.42578125" bestFit="1" customWidth="1"/>
    <col min="3" max="3" width="12.28515625" bestFit="1" customWidth="1"/>
    <col min="4" max="4" width="12" bestFit="1" customWidth="1"/>
  </cols>
  <sheetData>
    <row r="2" spans="1:4" x14ac:dyDescent="0.25">
      <c r="A2" s="2" t="s">
        <v>36</v>
      </c>
      <c r="B2" s="2" t="s">
        <v>37</v>
      </c>
      <c r="C2" s="2" t="s">
        <v>38</v>
      </c>
      <c r="D2" s="2" t="s">
        <v>39</v>
      </c>
    </row>
    <row r="3" spans="1:4" x14ac:dyDescent="0.25">
      <c r="A3" s="2" t="s">
        <v>4</v>
      </c>
      <c r="B3" s="2">
        <v>13395</v>
      </c>
      <c r="C3" s="2" t="s">
        <v>35</v>
      </c>
      <c r="D3" s="2" t="str">
        <f>IF(OR(B3&gt;=10000,C3="yes"),"discount","not discount")</f>
        <v>discount</v>
      </c>
    </row>
    <row r="4" spans="1:4" x14ac:dyDescent="0.25">
      <c r="A4" s="2" t="s">
        <v>5</v>
      </c>
      <c r="B4" s="2">
        <v>11684</v>
      </c>
      <c r="C4" s="2" t="s">
        <v>34</v>
      </c>
      <c r="D4" s="2" t="str">
        <f t="shared" ref="D4:D22" si="0">IF(OR(B4&gt;=10000,C4="yes"),"discount","not discount")</f>
        <v>discount</v>
      </c>
    </row>
    <row r="5" spans="1:4" x14ac:dyDescent="0.25">
      <c r="A5" s="2" t="s">
        <v>6</v>
      </c>
      <c r="B5" s="2">
        <v>8740</v>
      </c>
      <c r="C5" s="2" t="s">
        <v>35</v>
      </c>
      <c r="D5" s="2" t="str">
        <f t="shared" si="0"/>
        <v>not discount</v>
      </c>
    </row>
    <row r="6" spans="1:4" x14ac:dyDescent="0.25">
      <c r="A6" s="2" t="s">
        <v>7</v>
      </c>
      <c r="B6" s="2">
        <v>7663</v>
      </c>
      <c r="C6" s="2" t="s">
        <v>34</v>
      </c>
      <c r="D6" s="2" t="str">
        <f t="shared" si="0"/>
        <v>discount</v>
      </c>
    </row>
    <row r="7" spans="1:4" x14ac:dyDescent="0.25">
      <c r="A7" s="2" t="s">
        <v>8</v>
      </c>
      <c r="B7" s="2">
        <v>9635</v>
      </c>
      <c r="C7" s="2" t="s">
        <v>35</v>
      </c>
      <c r="D7" s="2" t="str">
        <f t="shared" si="0"/>
        <v>not discount</v>
      </c>
    </row>
    <row r="8" spans="1:4" x14ac:dyDescent="0.25">
      <c r="A8" s="2" t="s">
        <v>9</v>
      </c>
      <c r="B8" s="2">
        <v>9584</v>
      </c>
      <c r="C8" s="2" t="s">
        <v>34</v>
      </c>
      <c r="D8" s="2" t="str">
        <f t="shared" si="0"/>
        <v>discount</v>
      </c>
    </row>
    <row r="9" spans="1:4" x14ac:dyDescent="0.25">
      <c r="A9" s="2" t="s">
        <v>10</v>
      </c>
      <c r="B9" s="2">
        <v>5924</v>
      </c>
      <c r="C9" s="2" t="s">
        <v>35</v>
      </c>
      <c r="D9" s="2" t="str">
        <f t="shared" si="0"/>
        <v>not discount</v>
      </c>
    </row>
    <row r="10" spans="1:4" x14ac:dyDescent="0.25">
      <c r="A10" s="2" t="s">
        <v>11</v>
      </c>
      <c r="B10" s="2">
        <v>14690</v>
      </c>
      <c r="C10" s="2" t="s">
        <v>34</v>
      </c>
      <c r="D10" s="2" t="str">
        <f t="shared" si="0"/>
        <v>discount</v>
      </c>
    </row>
    <row r="11" spans="1:4" x14ac:dyDescent="0.25">
      <c r="A11" s="2" t="s">
        <v>12</v>
      </c>
      <c r="B11" s="2">
        <v>5797</v>
      </c>
      <c r="C11" s="2" t="s">
        <v>35</v>
      </c>
      <c r="D11" s="2" t="str">
        <f t="shared" si="0"/>
        <v>not discount</v>
      </c>
    </row>
    <row r="12" spans="1:4" x14ac:dyDescent="0.25">
      <c r="A12" s="2" t="s">
        <v>13</v>
      </c>
      <c r="B12" s="2">
        <v>14870</v>
      </c>
      <c r="C12" s="2" t="s">
        <v>34</v>
      </c>
      <c r="D12" s="2" t="str">
        <f t="shared" si="0"/>
        <v>discount</v>
      </c>
    </row>
    <row r="13" spans="1:4" x14ac:dyDescent="0.25">
      <c r="A13" s="2" t="s">
        <v>14</v>
      </c>
      <c r="B13" s="2">
        <v>9952</v>
      </c>
      <c r="C13" s="2" t="s">
        <v>35</v>
      </c>
      <c r="D13" s="2" t="str">
        <f t="shared" si="0"/>
        <v>not discount</v>
      </c>
    </row>
    <row r="14" spans="1:4" x14ac:dyDescent="0.25">
      <c r="A14" s="2" t="s">
        <v>15</v>
      </c>
      <c r="B14" s="2">
        <v>12791</v>
      </c>
      <c r="C14" s="2" t="s">
        <v>34</v>
      </c>
      <c r="D14" s="2" t="str">
        <f t="shared" si="0"/>
        <v>discount</v>
      </c>
    </row>
    <row r="15" spans="1:4" x14ac:dyDescent="0.25">
      <c r="A15" s="2" t="s">
        <v>16</v>
      </c>
      <c r="B15" s="2">
        <v>9867</v>
      </c>
      <c r="C15" s="2" t="s">
        <v>35</v>
      </c>
      <c r="D15" s="2" t="str">
        <f t="shared" si="0"/>
        <v>not discount</v>
      </c>
    </row>
    <row r="16" spans="1:4" x14ac:dyDescent="0.25">
      <c r="A16" s="2" t="s">
        <v>17</v>
      </c>
      <c r="B16" s="2">
        <v>3880</v>
      </c>
      <c r="C16" s="2" t="s">
        <v>34</v>
      </c>
      <c r="D16" s="2" t="str">
        <f t="shared" si="0"/>
        <v>discount</v>
      </c>
    </row>
    <row r="17" spans="1:4" x14ac:dyDescent="0.25">
      <c r="A17" s="2" t="s">
        <v>18</v>
      </c>
      <c r="B17" s="2">
        <v>13677</v>
      </c>
      <c r="C17" s="2" t="s">
        <v>35</v>
      </c>
      <c r="D17" s="2" t="str">
        <f t="shared" si="0"/>
        <v>discount</v>
      </c>
    </row>
    <row r="18" spans="1:4" x14ac:dyDescent="0.25">
      <c r="A18" s="2" t="s">
        <v>6</v>
      </c>
      <c r="B18" s="2">
        <v>5280</v>
      </c>
      <c r="C18" s="2" t="s">
        <v>34</v>
      </c>
      <c r="D18" s="2" t="str">
        <f t="shared" si="0"/>
        <v>discount</v>
      </c>
    </row>
    <row r="19" spans="1:4" x14ac:dyDescent="0.25">
      <c r="A19" s="2" t="s">
        <v>19</v>
      </c>
      <c r="B19" s="2">
        <v>3752</v>
      </c>
      <c r="C19" s="2" t="s">
        <v>35</v>
      </c>
      <c r="D19" s="2" t="str">
        <f t="shared" si="0"/>
        <v>not discount</v>
      </c>
    </row>
    <row r="20" spans="1:4" x14ac:dyDescent="0.25">
      <c r="A20" s="2" t="s">
        <v>20</v>
      </c>
      <c r="B20" s="2">
        <v>7701</v>
      </c>
      <c r="C20" s="2" t="s">
        <v>34</v>
      </c>
      <c r="D20" s="2" t="str">
        <f t="shared" si="0"/>
        <v>discount</v>
      </c>
    </row>
    <row r="21" spans="1:4" x14ac:dyDescent="0.25">
      <c r="A21" s="2" t="s">
        <v>21</v>
      </c>
      <c r="B21" s="2">
        <v>8739</v>
      </c>
      <c r="C21" s="2" t="s">
        <v>35</v>
      </c>
      <c r="D21" s="2" t="str">
        <f t="shared" si="0"/>
        <v>not discount</v>
      </c>
    </row>
    <row r="22" spans="1:4" x14ac:dyDescent="0.25">
      <c r="A22" s="2" t="s">
        <v>22</v>
      </c>
      <c r="B22" s="2">
        <v>7511</v>
      </c>
      <c r="C22" s="2" t="s">
        <v>34</v>
      </c>
      <c r="D22" s="2" t="str">
        <f t="shared" si="0"/>
        <v>discount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F32D-E9D7-4923-824A-61705E14689D}">
  <dimension ref="A2:D22"/>
  <sheetViews>
    <sheetView workbookViewId="0">
      <selection activeCell="G35" sqref="G35"/>
    </sheetView>
  </sheetViews>
  <sheetFormatPr defaultRowHeight="15" x14ac:dyDescent="0.25"/>
  <cols>
    <col min="1" max="1" width="9.7109375" bestFit="1" customWidth="1"/>
    <col min="2" max="2" width="6.140625" bestFit="1" customWidth="1"/>
    <col min="3" max="3" width="9.85546875" bestFit="1" customWidth="1"/>
    <col min="4" max="4" width="13.42578125" bestFit="1" customWidth="1"/>
  </cols>
  <sheetData>
    <row r="2" spans="1:4" x14ac:dyDescent="0.25">
      <c r="A2" s="3" t="s">
        <v>40</v>
      </c>
      <c r="B2" s="3" t="s">
        <v>24</v>
      </c>
      <c r="C2" s="3" t="s">
        <v>41</v>
      </c>
      <c r="D2" s="3" t="s">
        <v>42</v>
      </c>
    </row>
    <row r="3" spans="1:4" x14ac:dyDescent="0.25">
      <c r="A3" s="2" t="s">
        <v>4</v>
      </c>
      <c r="B3" s="3">
        <v>20589</v>
      </c>
      <c r="C3" s="3">
        <v>720</v>
      </c>
      <c r="D3" s="3" t="str">
        <f>IF(OR(B3&gt;=40000,C3&gt;=700),"YES","NO")</f>
        <v>YES</v>
      </c>
    </row>
    <row r="4" spans="1:4" x14ac:dyDescent="0.25">
      <c r="A4" s="2" t="s">
        <v>5</v>
      </c>
      <c r="B4" s="3">
        <v>54510</v>
      </c>
      <c r="C4" s="3">
        <v>680</v>
      </c>
      <c r="D4" s="3" t="str">
        <f t="shared" ref="D4:D22" si="0">IF(OR(B4&gt;=40000,C4&gt;=700),"YES","NO")</f>
        <v>YES</v>
      </c>
    </row>
    <row r="5" spans="1:4" x14ac:dyDescent="0.25">
      <c r="A5" s="2" t="s">
        <v>6</v>
      </c>
      <c r="B5" s="3">
        <v>40699</v>
      </c>
      <c r="C5" s="3">
        <v>650</v>
      </c>
      <c r="D5" s="3" t="str">
        <f t="shared" si="0"/>
        <v>YES</v>
      </c>
    </row>
    <row r="6" spans="1:4" x14ac:dyDescent="0.25">
      <c r="A6" s="2" t="s">
        <v>7</v>
      </c>
      <c r="B6" s="3">
        <v>41255</v>
      </c>
      <c r="C6" s="3">
        <v>600</v>
      </c>
      <c r="D6" s="3" t="str">
        <f t="shared" si="0"/>
        <v>YES</v>
      </c>
    </row>
    <row r="7" spans="1:4" x14ac:dyDescent="0.25">
      <c r="A7" s="2" t="s">
        <v>8</v>
      </c>
      <c r="B7" s="3">
        <v>51550</v>
      </c>
      <c r="C7" s="3">
        <v>630</v>
      </c>
      <c r="D7" s="3" t="str">
        <f t="shared" si="0"/>
        <v>YES</v>
      </c>
    </row>
    <row r="8" spans="1:4" x14ac:dyDescent="0.25">
      <c r="A8" s="2" t="s">
        <v>9</v>
      </c>
      <c r="B8" s="3">
        <v>33955</v>
      </c>
      <c r="C8" s="3">
        <v>780</v>
      </c>
      <c r="D8" s="3" t="str">
        <f t="shared" si="0"/>
        <v>YES</v>
      </c>
    </row>
    <row r="9" spans="1:4" x14ac:dyDescent="0.25">
      <c r="A9" s="2" t="s">
        <v>10</v>
      </c>
      <c r="B9" s="3">
        <v>44947</v>
      </c>
      <c r="C9" s="3">
        <v>650</v>
      </c>
      <c r="D9" s="3" t="str">
        <f t="shared" si="0"/>
        <v>YES</v>
      </c>
    </row>
    <row r="10" spans="1:4" x14ac:dyDescent="0.25">
      <c r="A10" s="2" t="s">
        <v>11</v>
      </c>
      <c r="B10" s="3">
        <v>23744</v>
      </c>
      <c r="C10" s="3">
        <v>710</v>
      </c>
      <c r="D10" s="3" t="str">
        <f t="shared" si="0"/>
        <v>YES</v>
      </c>
    </row>
    <row r="11" spans="1:4" x14ac:dyDescent="0.25">
      <c r="A11" s="2" t="s">
        <v>12</v>
      </c>
      <c r="B11" s="3">
        <v>37836</v>
      </c>
      <c r="C11" s="3">
        <v>700</v>
      </c>
      <c r="D11" s="3" t="str">
        <f t="shared" si="0"/>
        <v>YES</v>
      </c>
    </row>
    <row r="12" spans="1:4" x14ac:dyDescent="0.25">
      <c r="A12" s="2" t="s">
        <v>13</v>
      </c>
      <c r="B12" s="3">
        <v>51958</v>
      </c>
      <c r="C12" s="3">
        <v>680</v>
      </c>
      <c r="D12" s="3" t="str">
        <f t="shared" si="0"/>
        <v>YES</v>
      </c>
    </row>
    <row r="13" spans="1:4" x14ac:dyDescent="0.25">
      <c r="A13" s="2" t="s">
        <v>14</v>
      </c>
      <c r="B13" s="3">
        <v>39304</v>
      </c>
      <c r="C13" s="3">
        <v>610</v>
      </c>
      <c r="D13" s="3" t="str">
        <f t="shared" si="0"/>
        <v>NO</v>
      </c>
    </row>
    <row r="14" spans="1:4" x14ac:dyDescent="0.25">
      <c r="A14" s="2" t="s">
        <v>15</v>
      </c>
      <c r="B14" s="3">
        <v>23045</v>
      </c>
      <c r="C14" s="3">
        <v>730</v>
      </c>
      <c r="D14" s="3" t="str">
        <f t="shared" si="0"/>
        <v>YES</v>
      </c>
    </row>
    <row r="15" spans="1:4" x14ac:dyDescent="0.25">
      <c r="A15" s="2" t="s">
        <v>16</v>
      </c>
      <c r="B15" s="3">
        <v>39281</v>
      </c>
      <c r="C15" s="3">
        <v>600</v>
      </c>
      <c r="D15" s="3" t="str">
        <f t="shared" si="0"/>
        <v>NO</v>
      </c>
    </row>
    <row r="16" spans="1:4" x14ac:dyDescent="0.25">
      <c r="A16" s="2" t="s">
        <v>17</v>
      </c>
      <c r="B16" s="3">
        <v>43029</v>
      </c>
      <c r="C16" s="3">
        <v>630</v>
      </c>
      <c r="D16" s="3" t="str">
        <f t="shared" si="0"/>
        <v>YES</v>
      </c>
    </row>
    <row r="17" spans="1:4" x14ac:dyDescent="0.25">
      <c r="A17" s="2" t="s">
        <v>18</v>
      </c>
      <c r="B17" s="3">
        <v>51951</v>
      </c>
      <c r="C17" s="3">
        <v>780</v>
      </c>
      <c r="D17" s="3" t="str">
        <f t="shared" si="0"/>
        <v>YES</v>
      </c>
    </row>
    <row r="18" spans="1:4" x14ac:dyDescent="0.25">
      <c r="A18" s="2" t="s">
        <v>6</v>
      </c>
      <c r="B18" s="3">
        <v>54756</v>
      </c>
      <c r="C18" s="3">
        <v>650</v>
      </c>
      <c r="D18" s="3" t="str">
        <f t="shared" si="0"/>
        <v>YES</v>
      </c>
    </row>
    <row r="19" spans="1:4" x14ac:dyDescent="0.25">
      <c r="A19" s="2" t="s">
        <v>19</v>
      </c>
      <c r="B19" s="3">
        <v>35239</v>
      </c>
      <c r="C19" s="3">
        <v>710</v>
      </c>
      <c r="D19" s="3" t="str">
        <f t="shared" si="0"/>
        <v>YES</v>
      </c>
    </row>
    <row r="20" spans="1:4" x14ac:dyDescent="0.25">
      <c r="A20" s="2" t="s">
        <v>20</v>
      </c>
      <c r="B20" s="3">
        <v>38965</v>
      </c>
      <c r="C20" s="3">
        <v>700</v>
      </c>
      <c r="D20" s="3" t="str">
        <f t="shared" si="0"/>
        <v>YES</v>
      </c>
    </row>
    <row r="21" spans="1:4" x14ac:dyDescent="0.25">
      <c r="A21" s="2" t="s">
        <v>21</v>
      </c>
      <c r="B21" s="3">
        <v>31193</v>
      </c>
      <c r="C21" s="3">
        <v>615</v>
      </c>
      <c r="D21" s="3" t="str">
        <f t="shared" si="0"/>
        <v>NO</v>
      </c>
    </row>
    <row r="22" spans="1:4" x14ac:dyDescent="0.25">
      <c r="A22" s="2" t="s">
        <v>22</v>
      </c>
      <c r="B22" s="3">
        <v>50525</v>
      </c>
      <c r="C22" s="3">
        <v>725</v>
      </c>
      <c r="D22" s="3" t="str">
        <f t="shared" si="0"/>
        <v>YES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4E28-A2F3-4C20-A067-EA4700010EEE}">
  <dimension ref="A2:C22"/>
  <sheetViews>
    <sheetView workbookViewId="0">
      <selection activeCell="I36" sqref="I36"/>
    </sheetView>
  </sheetViews>
  <sheetFormatPr defaultRowHeight="15" x14ac:dyDescent="0.25"/>
  <sheetData>
    <row r="2" spans="1:3" x14ac:dyDescent="0.25">
      <c r="A2" s="1" t="s">
        <v>28</v>
      </c>
      <c r="B2" s="1" t="s">
        <v>43</v>
      </c>
      <c r="C2" s="1" t="s">
        <v>44</v>
      </c>
    </row>
    <row r="3" spans="1:3" x14ac:dyDescent="0.25">
      <c r="A3" s="2" t="s">
        <v>4</v>
      </c>
      <c r="B3" s="1" t="b">
        <v>1</v>
      </c>
      <c r="C3" s="1" t="str">
        <f>IF(NOT(B3),"ABSENT","PRESENT")</f>
        <v>PRESENT</v>
      </c>
    </row>
    <row r="4" spans="1:3" x14ac:dyDescent="0.25">
      <c r="A4" s="2" t="s">
        <v>5</v>
      </c>
      <c r="B4" s="1" t="b">
        <v>0</v>
      </c>
      <c r="C4" s="1" t="str">
        <f t="shared" ref="C4:C22" si="0">IF(NOT(B4),"ABSENT","PRESENT")</f>
        <v>ABSENT</v>
      </c>
    </row>
    <row r="5" spans="1:3" x14ac:dyDescent="0.25">
      <c r="A5" s="2" t="s">
        <v>6</v>
      </c>
      <c r="B5" s="1" t="b">
        <v>1</v>
      </c>
      <c r="C5" s="1" t="str">
        <f t="shared" si="0"/>
        <v>PRESENT</v>
      </c>
    </row>
    <row r="6" spans="1:3" x14ac:dyDescent="0.25">
      <c r="A6" s="2" t="s">
        <v>7</v>
      </c>
      <c r="B6" s="1" t="b">
        <v>0</v>
      </c>
      <c r="C6" s="1" t="str">
        <f t="shared" si="0"/>
        <v>ABSENT</v>
      </c>
    </row>
    <row r="7" spans="1:3" x14ac:dyDescent="0.25">
      <c r="A7" s="2" t="s">
        <v>8</v>
      </c>
      <c r="B7" s="1" t="b">
        <v>1</v>
      </c>
      <c r="C7" s="1" t="str">
        <f t="shared" si="0"/>
        <v>PRESENT</v>
      </c>
    </row>
    <row r="8" spans="1:3" x14ac:dyDescent="0.25">
      <c r="A8" s="2" t="s">
        <v>9</v>
      </c>
      <c r="B8" s="1" t="b">
        <v>0</v>
      </c>
      <c r="C8" s="1" t="str">
        <f t="shared" si="0"/>
        <v>ABSENT</v>
      </c>
    </row>
    <row r="9" spans="1:3" x14ac:dyDescent="0.25">
      <c r="A9" s="2" t="s">
        <v>10</v>
      </c>
      <c r="B9" s="1" t="b">
        <v>1</v>
      </c>
      <c r="C9" s="1" t="str">
        <f t="shared" si="0"/>
        <v>PRESENT</v>
      </c>
    </row>
    <row r="10" spans="1:3" x14ac:dyDescent="0.25">
      <c r="A10" s="2" t="s">
        <v>11</v>
      </c>
      <c r="B10" s="1" t="b">
        <v>0</v>
      </c>
      <c r="C10" s="1" t="str">
        <f t="shared" si="0"/>
        <v>ABSENT</v>
      </c>
    </row>
    <row r="11" spans="1:3" x14ac:dyDescent="0.25">
      <c r="A11" s="2" t="s">
        <v>12</v>
      </c>
      <c r="B11" s="1" t="b">
        <v>1</v>
      </c>
      <c r="C11" s="1" t="str">
        <f t="shared" si="0"/>
        <v>PRESENT</v>
      </c>
    </row>
    <row r="12" spans="1:3" x14ac:dyDescent="0.25">
      <c r="A12" s="2" t="s">
        <v>13</v>
      </c>
      <c r="B12" s="1" t="b">
        <v>0</v>
      </c>
      <c r="C12" s="1" t="str">
        <f t="shared" si="0"/>
        <v>ABSENT</v>
      </c>
    </row>
    <row r="13" spans="1:3" x14ac:dyDescent="0.25">
      <c r="A13" s="2" t="s">
        <v>14</v>
      </c>
      <c r="B13" s="1" t="b">
        <v>1</v>
      </c>
      <c r="C13" s="1" t="str">
        <f t="shared" si="0"/>
        <v>PRESENT</v>
      </c>
    </row>
    <row r="14" spans="1:3" x14ac:dyDescent="0.25">
      <c r="A14" s="2" t="s">
        <v>15</v>
      </c>
      <c r="B14" s="1" t="b">
        <v>0</v>
      </c>
      <c r="C14" s="1" t="str">
        <f t="shared" si="0"/>
        <v>ABSENT</v>
      </c>
    </row>
    <row r="15" spans="1:3" x14ac:dyDescent="0.25">
      <c r="A15" s="2" t="s">
        <v>16</v>
      </c>
      <c r="B15" s="1" t="b">
        <v>1</v>
      </c>
      <c r="C15" s="1" t="str">
        <f t="shared" si="0"/>
        <v>PRESENT</v>
      </c>
    </row>
    <row r="16" spans="1:3" x14ac:dyDescent="0.25">
      <c r="A16" s="2" t="s">
        <v>17</v>
      </c>
      <c r="B16" s="1" t="b">
        <v>0</v>
      </c>
      <c r="C16" s="1" t="str">
        <f t="shared" si="0"/>
        <v>ABSENT</v>
      </c>
    </row>
    <row r="17" spans="1:3" x14ac:dyDescent="0.25">
      <c r="A17" s="2" t="s">
        <v>18</v>
      </c>
      <c r="B17" s="1" t="b">
        <v>1</v>
      </c>
      <c r="C17" s="1" t="str">
        <f t="shared" si="0"/>
        <v>PRESENT</v>
      </c>
    </row>
    <row r="18" spans="1:3" x14ac:dyDescent="0.25">
      <c r="A18" s="2" t="s">
        <v>6</v>
      </c>
      <c r="B18" s="1" t="b">
        <v>0</v>
      </c>
      <c r="C18" s="1" t="str">
        <f t="shared" si="0"/>
        <v>ABSENT</v>
      </c>
    </row>
    <row r="19" spans="1:3" x14ac:dyDescent="0.25">
      <c r="A19" s="2" t="s">
        <v>19</v>
      </c>
      <c r="B19" s="1" t="b">
        <v>1</v>
      </c>
      <c r="C19" s="1" t="str">
        <f t="shared" si="0"/>
        <v>PRESENT</v>
      </c>
    </row>
    <row r="20" spans="1:3" x14ac:dyDescent="0.25">
      <c r="A20" s="2" t="s">
        <v>20</v>
      </c>
      <c r="B20" s="1" t="b">
        <v>0</v>
      </c>
      <c r="C20" s="1" t="str">
        <f t="shared" si="0"/>
        <v>ABSENT</v>
      </c>
    </row>
    <row r="21" spans="1:3" x14ac:dyDescent="0.25">
      <c r="A21" s="2" t="s">
        <v>21</v>
      </c>
      <c r="B21" s="1" t="b">
        <v>1</v>
      </c>
      <c r="C21" s="1" t="str">
        <f t="shared" si="0"/>
        <v>PRESENT</v>
      </c>
    </row>
    <row r="22" spans="1:3" x14ac:dyDescent="0.25">
      <c r="A22" s="2" t="s">
        <v>22</v>
      </c>
      <c r="B22" s="1" t="b">
        <v>0</v>
      </c>
      <c r="C22" s="1" t="str">
        <f t="shared" si="0"/>
        <v>ABSENT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002C-F013-43E9-9827-4F87668FBB9C}">
  <dimension ref="A3:C13"/>
  <sheetViews>
    <sheetView workbookViewId="0">
      <selection activeCell="I31" sqref="I31"/>
    </sheetView>
  </sheetViews>
  <sheetFormatPr defaultRowHeight="15" x14ac:dyDescent="0.25"/>
  <sheetData>
    <row r="3" spans="1:3" x14ac:dyDescent="0.25">
      <c r="A3" s="1" t="s">
        <v>45</v>
      </c>
      <c r="B3" s="1" t="s">
        <v>46</v>
      </c>
      <c r="C3" s="1" t="s">
        <v>47</v>
      </c>
    </row>
    <row r="4" spans="1:3" x14ac:dyDescent="0.25">
      <c r="A4" s="1">
        <v>10</v>
      </c>
      <c r="B4" s="1">
        <v>2</v>
      </c>
      <c r="C4" s="1">
        <f>IFERROR(A4/B4,"INVALID")</f>
        <v>5</v>
      </c>
    </row>
    <row r="5" spans="1:3" x14ac:dyDescent="0.25">
      <c r="A5" s="1">
        <v>15</v>
      </c>
      <c r="B5" s="1">
        <v>0</v>
      </c>
      <c r="C5" s="1" t="str">
        <f t="shared" ref="C5:C13" si="0">IFERROR(A5/B5,"INVALID")</f>
        <v>INVALID</v>
      </c>
    </row>
    <row r="6" spans="1:3" x14ac:dyDescent="0.25">
      <c r="A6" s="1">
        <v>25</v>
      </c>
      <c r="B6" s="1">
        <v>5</v>
      </c>
      <c r="C6" s="1">
        <f t="shared" si="0"/>
        <v>5</v>
      </c>
    </row>
    <row r="7" spans="1:3" x14ac:dyDescent="0.25">
      <c r="A7" s="1">
        <v>30</v>
      </c>
      <c r="B7" s="1">
        <v>0</v>
      </c>
      <c r="C7" s="1" t="str">
        <f t="shared" si="0"/>
        <v>INVALID</v>
      </c>
    </row>
    <row r="8" spans="1:3" x14ac:dyDescent="0.25">
      <c r="A8" s="1">
        <v>8</v>
      </c>
      <c r="B8" s="1">
        <v>1</v>
      </c>
      <c r="C8" s="1">
        <f t="shared" si="0"/>
        <v>8</v>
      </c>
    </row>
    <row r="9" spans="1:3" x14ac:dyDescent="0.25">
      <c r="A9" s="1">
        <v>20</v>
      </c>
      <c r="B9" s="1">
        <v>3</v>
      </c>
      <c r="C9" s="1">
        <f t="shared" si="0"/>
        <v>6.666666666666667</v>
      </c>
    </row>
    <row r="10" spans="1:3" x14ac:dyDescent="0.25">
      <c r="A10" s="1">
        <v>10</v>
      </c>
      <c r="B10" s="1">
        <v>8</v>
      </c>
      <c r="C10" s="1">
        <f t="shared" si="0"/>
        <v>1.25</v>
      </c>
    </row>
    <row r="11" spans="1:3" x14ac:dyDescent="0.25">
      <c r="A11" s="1">
        <v>16</v>
      </c>
      <c r="B11" s="1">
        <v>0</v>
      </c>
      <c r="C11" s="1" t="str">
        <f t="shared" si="0"/>
        <v>INVALID</v>
      </c>
    </row>
    <row r="12" spans="1:3" x14ac:dyDescent="0.25">
      <c r="A12" s="1">
        <v>17</v>
      </c>
      <c r="B12" s="1">
        <v>5</v>
      </c>
      <c r="C12" s="1">
        <f t="shared" si="0"/>
        <v>3.4</v>
      </c>
    </row>
    <row r="13" spans="1:3" x14ac:dyDescent="0.25">
      <c r="A13" s="1">
        <v>19</v>
      </c>
      <c r="B13" s="1">
        <v>6</v>
      </c>
      <c r="C13" s="1">
        <f t="shared" si="0"/>
        <v>3.1666666666666665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8CE0-DF16-49E3-84AE-10BF8E41170E}">
  <dimension ref="A3:D23"/>
  <sheetViews>
    <sheetView workbookViewId="0">
      <selection activeCell="K24" sqref="K24"/>
    </sheetView>
  </sheetViews>
  <sheetFormatPr defaultRowHeight="15" x14ac:dyDescent="0.25"/>
  <cols>
    <col min="1" max="1" width="16.140625" bestFit="1" customWidth="1"/>
    <col min="2" max="2" width="18.28515625" bestFit="1" customWidth="1"/>
    <col min="3" max="3" width="12.85546875" bestFit="1" customWidth="1"/>
    <col min="4" max="4" width="19.28515625" bestFit="1" customWidth="1"/>
  </cols>
  <sheetData>
    <row r="3" spans="1:4" x14ac:dyDescent="0.25">
      <c r="A3" s="3" t="s">
        <v>48</v>
      </c>
      <c r="B3" s="3" t="s">
        <v>49</v>
      </c>
      <c r="C3" s="3" t="s">
        <v>50</v>
      </c>
      <c r="D3" s="3" t="s">
        <v>51</v>
      </c>
    </row>
    <row r="4" spans="1:4" x14ac:dyDescent="0.25">
      <c r="A4" s="2" t="s">
        <v>4</v>
      </c>
      <c r="B4" s="3">
        <v>34</v>
      </c>
      <c r="C4" s="3">
        <v>73</v>
      </c>
      <c r="D4" s="3" t="str">
        <f>IF(AND(C4&gt;=90,B4&gt;=40),"EXCELLENT",IF(AND(C4&gt;=80),"GOOD","NEED IMPROVMENT "))</f>
        <v xml:space="preserve">NEED IMPROVMENT </v>
      </c>
    </row>
    <row r="5" spans="1:4" x14ac:dyDescent="0.25">
      <c r="A5" s="2" t="s">
        <v>5</v>
      </c>
      <c r="B5" s="3">
        <v>34</v>
      </c>
      <c r="C5" s="3">
        <v>79</v>
      </c>
      <c r="D5" s="3" t="str">
        <f t="shared" ref="D5:D23" si="0">IF(AND(C5&gt;=90,B5&gt;=40),"EXCELLENT",IF(AND(C5&gt;=80),"GOOD","NEED IMPROVMENT "))</f>
        <v xml:space="preserve">NEED IMPROVMENT </v>
      </c>
    </row>
    <row r="6" spans="1:4" x14ac:dyDescent="0.25">
      <c r="A6" s="2" t="s">
        <v>6</v>
      </c>
      <c r="B6" s="3">
        <v>31</v>
      </c>
      <c r="C6" s="3">
        <v>89</v>
      </c>
      <c r="D6" s="3" t="str">
        <f t="shared" si="0"/>
        <v>GOOD</v>
      </c>
    </row>
    <row r="7" spans="1:4" x14ac:dyDescent="0.25">
      <c r="A7" s="2" t="s">
        <v>7</v>
      </c>
      <c r="B7" s="3">
        <v>38</v>
      </c>
      <c r="C7" s="3">
        <v>87</v>
      </c>
      <c r="D7" s="3" t="str">
        <f t="shared" si="0"/>
        <v>GOOD</v>
      </c>
    </row>
    <row r="8" spans="1:4" x14ac:dyDescent="0.25">
      <c r="A8" s="2" t="s">
        <v>8</v>
      </c>
      <c r="B8" s="3">
        <v>43</v>
      </c>
      <c r="C8" s="3">
        <v>90</v>
      </c>
      <c r="D8" s="3" t="str">
        <f t="shared" si="0"/>
        <v>EXCELLENT</v>
      </c>
    </row>
    <row r="9" spans="1:4" x14ac:dyDescent="0.25">
      <c r="A9" s="2" t="s">
        <v>9</v>
      </c>
      <c r="B9" s="3">
        <v>51</v>
      </c>
      <c r="C9" s="3">
        <v>83</v>
      </c>
      <c r="D9" s="3" t="str">
        <f t="shared" si="0"/>
        <v>GOOD</v>
      </c>
    </row>
    <row r="10" spans="1:4" x14ac:dyDescent="0.25">
      <c r="A10" s="2" t="s">
        <v>10</v>
      </c>
      <c r="B10" s="3">
        <v>41</v>
      </c>
      <c r="C10" s="3">
        <v>67</v>
      </c>
      <c r="D10" s="3" t="str">
        <f t="shared" si="0"/>
        <v xml:space="preserve">NEED IMPROVMENT </v>
      </c>
    </row>
    <row r="11" spans="1:4" x14ac:dyDescent="0.25">
      <c r="A11" s="2" t="s">
        <v>11</v>
      </c>
      <c r="B11" s="3">
        <v>30</v>
      </c>
      <c r="C11" s="3">
        <v>75</v>
      </c>
      <c r="D11" s="3" t="str">
        <f t="shared" si="0"/>
        <v xml:space="preserve">NEED IMPROVMENT </v>
      </c>
    </row>
    <row r="12" spans="1:4" x14ac:dyDescent="0.25">
      <c r="A12" s="2" t="s">
        <v>12</v>
      </c>
      <c r="B12" s="3">
        <v>42</v>
      </c>
      <c r="C12" s="3">
        <v>77</v>
      </c>
      <c r="D12" s="3" t="str">
        <f t="shared" si="0"/>
        <v xml:space="preserve">NEED IMPROVMENT </v>
      </c>
    </row>
    <row r="13" spans="1:4" x14ac:dyDescent="0.25">
      <c r="A13" s="2" t="s">
        <v>13</v>
      </c>
      <c r="B13" s="3">
        <v>33</v>
      </c>
      <c r="C13" s="3">
        <v>71</v>
      </c>
      <c r="D13" s="3" t="str">
        <f t="shared" si="0"/>
        <v xml:space="preserve">NEED IMPROVMENT </v>
      </c>
    </row>
    <row r="14" spans="1:4" x14ac:dyDescent="0.25">
      <c r="A14" s="2" t="s">
        <v>14</v>
      </c>
      <c r="B14" s="3">
        <v>30</v>
      </c>
      <c r="C14" s="3">
        <v>73</v>
      </c>
      <c r="D14" s="3" t="str">
        <f t="shared" si="0"/>
        <v xml:space="preserve">NEED IMPROVMENT </v>
      </c>
    </row>
    <row r="15" spans="1:4" x14ac:dyDescent="0.25">
      <c r="A15" s="2" t="s">
        <v>15</v>
      </c>
      <c r="B15" s="3">
        <v>52</v>
      </c>
      <c r="C15" s="3">
        <v>91</v>
      </c>
      <c r="D15" s="3" t="str">
        <f t="shared" si="0"/>
        <v>EXCELLENT</v>
      </c>
    </row>
    <row r="16" spans="1:4" x14ac:dyDescent="0.25">
      <c r="A16" s="2" t="s">
        <v>16</v>
      </c>
      <c r="B16" s="3">
        <v>44</v>
      </c>
      <c r="C16" s="3">
        <v>93</v>
      </c>
      <c r="D16" s="3" t="str">
        <f t="shared" si="0"/>
        <v>EXCELLENT</v>
      </c>
    </row>
    <row r="17" spans="1:4" x14ac:dyDescent="0.25">
      <c r="A17" s="2" t="s">
        <v>17</v>
      </c>
      <c r="B17" s="3">
        <v>50</v>
      </c>
      <c r="C17" s="3">
        <v>79</v>
      </c>
      <c r="D17" s="3" t="str">
        <f t="shared" si="0"/>
        <v xml:space="preserve">NEED IMPROVMENT </v>
      </c>
    </row>
    <row r="18" spans="1:4" x14ac:dyDescent="0.25">
      <c r="A18" s="2" t="s">
        <v>18</v>
      </c>
      <c r="B18" s="3">
        <v>39</v>
      </c>
      <c r="C18" s="3">
        <v>82</v>
      </c>
      <c r="D18" s="3" t="str">
        <f t="shared" si="0"/>
        <v>GOOD</v>
      </c>
    </row>
    <row r="19" spans="1:4" x14ac:dyDescent="0.25">
      <c r="A19" s="2" t="s">
        <v>6</v>
      </c>
      <c r="B19" s="3">
        <v>49</v>
      </c>
      <c r="C19" s="3">
        <v>85</v>
      </c>
      <c r="D19" s="3" t="str">
        <f t="shared" si="0"/>
        <v>GOOD</v>
      </c>
    </row>
    <row r="20" spans="1:4" x14ac:dyDescent="0.25">
      <c r="A20" s="2" t="s">
        <v>19</v>
      </c>
      <c r="B20" s="3">
        <v>40</v>
      </c>
      <c r="C20" s="3">
        <v>86</v>
      </c>
      <c r="D20" s="3" t="str">
        <f t="shared" si="0"/>
        <v>GOOD</v>
      </c>
    </row>
    <row r="21" spans="1:4" x14ac:dyDescent="0.25">
      <c r="A21" s="2" t="s">
        <v>20</v>
      </c>
      <c r="B21" s="3">
        <v>30</v>
      </c>
      <c r="C21" s="3">
        <v>65</v>
      </c>
      <c r="D21" s="3" t="str">
        <f t="shared" si="0"/>
        <v xml:space="preserve">NEED IMPROVMENT </v>
      </c>
    </row>
    <row r="22" spans="1:4" x14ac:dyDescent="0.25">
      <c r="A22" s="2" t="s">
        <v>21</v>
      </c>
      <c r="B22" s="3">
        <v>32</v>
      </c>
      <c r="C22" s="3">
        <v>70</v>
      </c>
      <c r="D22" s="3" t="str">
        <f t="shared" si="0"/>
        <v xml:space="preserve">NEED IMPROVMENT </v>
      </c>
    </row>
    <row r="23" spans="1:4" x14ac:dyDescent="0.25">
      <c r="A23" s="2" t="s">
        <v>22</v>
      </c>
      <c r="B23" s="3">
        <v>31</v>
      </c>
      <c r="C23" s="3">
        <v>72</v>
      </c>
      <c r="D23" s="3" t="str">
        <f t="shared" si="0"/>
        <v xml:space="preserve">NEED IMPROVMENT 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2026-03-30T14:11:54Z</dcterms:created>
  <dcterms:modified xsi:type="dcterms:W3CDTF">2026-04-02T12:38:40Z</dcterms:modified>
</cp:coreProperties>
</file>