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3851013B-D8E9-4982-815A-7F46E9954DF4}" xr6:coauthVersionLast="47" xr6:coauthVersionMax="47" xr10:uidLastSave="{00000000-0000-0000-0000-000000000000}"/>
  <bookViews>
    <workbookView xWindow="-120" yWindow="-120" windowWidth="29040" windowHeight="15720" activeTab="2" xr2:uid="{6BE0C039-B72A-4D44-9810-33E23AF55574}"/>
  </bookViews>
  <sheets>
    <sheet name="Vlookup" sheetId="1" r:id="rId1"/>
    <sheet name="Hlookup" sheetId="2" r:id="rId2"/>
    <sheet name="Xlool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2" l="1"/>
  <c r="J20" i="3"/>
  <c r="J17" i="3"/>
  <c r="J14" i="3"/>
  <c r="J11" i="3"/>
  <c r="J8" i="3"/>
  <c r="J21" i="2"/>
  <c r="J18" i="2"/>
  <c r="J15" i="2"/>
  <c r="K15" i="2"/>
  <c r="J13" i="1"/>
  <c r="N10" i="1"/>
  <c r="M10" i="1"/>
  <c r="L10" i="1"/>
  <c r="J10" i="1"/>
  <c r="K10" i="1"/>
</calcChain>
</file>

<file path=xl/sharedStrings.xml><?xml version="1.0" encoding="utf-8"?>
<sst xmlns="http://schemas.openxmlformats.org/spreadsheetml/2006/main" count="190" uniqueCount="61">
  <si>
    <t>EmployeeID</t>
  </si>
  <si>
    <t>Name</t>
  </si>
  <si>
    <t>Department</t>
  </si>
  <si>
    <t>Location</t>
  </si>
  <si>
    <t>Salary</t>
  </si>
  <si>
    <t>Joining Year</t>
  </si>
  <si>
    <t>E101</t>
  </si>
  <si>
    <t>E102</t>
  </si>
  <si>
    <t>E103</t>
  </si>
  <si>
    <t>E104</t>
  </si>
  <si>
    <t>E105</t>
  </si>
  <si>
    <t>E106</t>
  </si>
  <si>
    <t>E107</t>
  </si>
  <si>
    <t>E108</t>
  </si>
  <si>
    <t>Rahul Sharma</t>
  </si>
  <si>
    <t>Ananya Gupta</t>
  </si>
  <si>
    <t>Rohit Verma</t>
  </si>
  <si>
    <t>Neha Singh</t>
  </si>
  <si>
    <t>Aman Kumar</t>
  </si>
  <si>
    <t>Pooja Mehta</t>
  </si>
  <si>
    <t>Suresh Rao</t>
  </si>
  <si>
    <t>Kavita Iyer</t>
  </si>
  <si>
    <t>Sales</t>
  </si>
  <si>
    <t>HR</t>
  </si>
  <si>
    <t>IT</t>
  </si>
  <si>
    <t>Finance</t>
  </si>
  <si>
    <t>Marketing</t>
  </si>
  <si>
    <t>Mumbai</t>
  </si>
  <si>
    <t>Delhi</t>
  </si>
  <si>
    <t>Bagalore</t>
  </si>
  <si>
    <t>Pune</t>
  </si>
  <si>
    <t>Chennai</t>
  </si>
  <si>
    <t>Hyderabad</t>
  </si>
  <si>
    <t>Employee Data</t>
  </si>
  <si>
    <t>sales</t>
  </si>
  <si>
    <t>Finace</t>
  </si>
  <si>
    <t>Bonus%</t>
  </si>
  <si>
    <t>E110</t>
  </si>
  <si>
    <t>Horizontal Table(Hlookup)</t>
  </si>
  <si>
    <t>Bouns</t>
  </si>
  <si>
    <t>Departmnet</t>
  </si>
  <si>
    <t>EmployeeId</t>
  </si>
  <si>
    <t>rohit verma</t>
  </si>
  <si>
    <t>neha singh</t>
  </si>
  <si>
    <t>aman kumar</t>
  </si>
  <si>
    <t>pooja  mehta</t>
  </si>
  <si>
    <t>mumbai</t>
  </si>
  <si>
    <t>delhi</t>
  </si>
  <si>
    <t>banglore</t>
  </si>
  <si>
    <t>pune</t>
  </si>
  <si>
    <t>chennai</t>
  </si>
  <si>
    <t>Bonus</t>
  </si>
  <si>
    <t>Bouns Amount</t>
  </si>
  <si>
    <t>7-10(TASK)</t>
  </si>
  <si>
    <t>1-6(TASK)</t>
  </si>
  <si>
    <t>11-15(TASK)</t>
  </si>
  <si>
    <t>Employee name</t>
  </si>
  <si>
    <t>E999</t>
  </si>
  <si>
    <t>department</t>
  </si>
  <si>
    <t>bouns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</si>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</sst>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9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5" fillId="7" borderId="1" xfId="0" applyFont="1" applyFill="1" applyBorder="1" applyAlignment="1">
      <alignment horizontal="center" vertical="center"/>
    </xf>
    <xf numFmtId="10" fontId="0" fillId="7" borderId="1" xfId="0" applyNumberFormat="1" applyFill="1" applyBorder="1"/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20C0-D306-4E19-902D-5A08F160F5BC}">
  <dimension ref="A2:N15"/>
  <sheetViews>
    <sheetView topLeftCell="A2" workbookViewId="0">
      <selection activeCell="I10" sqref="I10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7109375" bestFit="1" customWidth="1"/>
    <col min="4" max="4" width="10.5703125" bestFit="1" customWidth="1"/>
    <col min="5" max="5" width="6.28515625" bestFit="1" customWidth="1"/>
    <col min="6" max="6" width="11.5703125" bestFit="1" customWidth="1"/>
    <col min="9" max="9" width="11.7109375" bestFit="1" customWidth="1"/>
    <col min="10" max="10" width="10.28515625" bestFit="1" customWidth="1"/>
    <col min="11" max="11" width="11.7109375" bestFit="1" customWidth="1"/>
    <col min="12" max="12" width="6.28515625" bestFit="1" customWidth="1"/>
    <col min="13" max="13" width="8.42578125" bestFit="1" customWidth="1"/>
    <col min="14" max="14" width="11.7109375" bestFit="1" customWidth="1"/>
  </cols>
  <sheetData>
    <row r="2" spans="1:14" ht="15.75" thickBot="1" x14ac:dyDescent="0.3"/>
    <row r="3" spans="1:14" x14ac:dyDescent="0.25">
      <c r="B3" s="22" t="s">
        <v>33</v>
      </c>
      <c r="C3" s="23"/>
      <c r="D3" s="24"/>
    </row>
    <row r="4" spans="1:14" ht="15.75" thickBot="1" x14ac:dyDescent="0.3">
      <c r="B4" s="25"/>
      <c r="C4" s="26"/>
      <c r="D4" s="27"/>
    </row>
    <row r="5" spans="1:14" x14ac:dyDescent="0.25">
      <c r="J5" s="28" t="s">
        <v>54</v>
      </c>
      <c r="K5" s="29"/>
      <c r="L5" s="30"/>
    </row>
    <row r="6" spans="1:14" ht="15.75" thickBot="1" x14ac:dyDescent="0.3">
      <c r="J6" s="31"/>
      <c r="K6" s="32"/>
      <c r="L6" s="33"/>
    </row>
    <row r="7" spans="1:14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14" x14ac:dyDescent="0.25">
      <c r="A8" s="3" t="s">
        <v>6</v>
      </c>
      <c r="B8" s="3" t="s">
        <v>14</v>
      </c>
      <c r="C8" s="3" t="s">
        <v>22</v>
      </c>
      <c r="D8" s="3" t="s">
        <v>27</v>
      </c>
      <c r="E8" s="3">
        <v>45000</v>
      </c>
      <c r="F8" s="3">
        <v>2019</v>
      </c>
    </row>
    <row r="9" spans="1:14" x14ac:dyDescent="0.25">
      <c r="A9" s="3" t="s">
        <v>7</v>
      </c>
      <c r="B9" s="3" t="s">
        <v>15</v>
      </c>
      <c r="C9" s="3" t="s">
        <v>23</v>
      </c>
      <c r="D9" s="3" t="s">
        <v>28</v>
      </c>
      <c r="E9" s="3">
        <v>52000</v>
      </c>
      <c r="F9" s="3">
        <v>2018</v>
      </c>
      <c r="I9" s="1" t="s">
        <v>0</v>
      </c>
      <c r="J9" s="1" t="s">
        <v>1</v>
      </c>
      <c r="K9" s="1" t="s">
        <v>2</v>
      </c>
      <c r="L9" s="1" t="s">
        <v>4</v>
      </c>
      <c r="M9" s="1" t="s">
        <v>3</v>
      </c>
      <c r="N9" s="1" t="s">
        <v>5</v>
      </c>
    </row>
    <row r="10" spans="1:14" x14ac:dyDescent="0.25">
      <c r="A10" s="3" t="s">
        <v>8</v>
      </c>
      <c r="B10" s="3" t="s">
        <v>16</v>
      </c>
      <c r="C10" s="3" t="s">
        <v>24</v>
      </c>
      <c r="D10" s="3" t="s">
        <v>29</v>
      </c>
      <c r="E10" s="3">
        <v>65000</v>
      </c>
      <c r="F10" s="3">
        <v>2020</v>
      </c>
      <c r="I10" s="2" t="s">
        <v>6</v>
      </c>
      <c r="J10" s="2" t="str">
        <f>VLOOKUP(I10,A7:F15,2,0)</f>
        <v>Rahul Sharma</v>
      </c>
      <c r="K10" s="2" t="str">
        <f>VLOOKUP(I10,$A$7:$F$15,3,0)</f>
        <v>Sales</v>
      </c>
      <c r="L10" s="2">
        <f>VLOOKUP(I10,$A$7:$F$15,5,0)</f>
        <v>45000</v>
      </c>
      <c r="M10" s="2" t="str">
        <f>VLOOKUP(I10,$A$7:$F$15,4,0)</f>
        <v>Mumbai</v>
      </c>
      <c r="N10" s="2">
        <f>VLOOKUP(I10,$A$7:$F$15,6,0)</f>
        <v>2019</v>
      </c>
    </row>
    <row r="11" spans="1:14" x14ac:dyDescent="0.25">
      <c r="A11" s="3" t="s">
        <v>9</v>
      </c>
      <c r="B11" s="3" t="s">
        <v>17</v>
      </c>
      <c r="C11" s="3" t="s">
        <v>25</v>
      </c>
      <c r="D11" s="3" t="s">
        <v>30</v>
      </c>
      <c r="E11" s="3">
        <v>58000</v>
      </c>
      <c r="F11" s="3">
        <v>2017</v>
      </c>
    </row>
    <row r="12" spans="1:14" x14ac:dyDescent="0.25">
      <c r="A12" s="3" t="s">
        <v>10</v>
      </c>
      <c r="B12" s="3" t="s">
        <v>18</v>
      </c>
      <c r="C12" s="3" t="s">
        <v>26</v>
      </c>
      <c r="D12" s="3" t="s">
        <v>27</v>
      </c>
      <c r="E12" s="3">
        <v>48000</v>
      </c>
      <c r="F12" s="3">
        <v>2021</v>
      </c>
      <c r="I12" s="1" t="s">
        <v>0</v>
      </c>
      <c r="J12" s="1" t="s">
        <v>1</v>
      </c>
    </row>
    <row r="13" spans="1:14" x14ac:dyDescent="0.25">
      <c r="A13" s="3" t="s">
        <v>11</v>
      </c>
      <c r="B13" s="3" t="s">
        <v>19</v>
      </c>
      <c r="C13" s="3" t="s">
        <v>24</v>
      </c>
      <c r="D13" s="3" t="s">
        <v>31</v>
      </c>
      <c r="E13" s="3">
        <v>62000</v>
      </c>
      <c r="F13" s="3">
        <v>2019</v>
      </c>
      <c r="I13" s="2" t="s">
        <v>37</v>
      </c>
      <c r="J13" s="2" t="str">
        <f>IFERROR(VLOOKUP(I13,A7:F15,1,0),"Not Found")</f>
        <v>Not Found</v>
      </c>
    </row>
    <row r="14" spans="1:14" x14ac:dyDescent="0.25">
      <c r="A14" s="3" t="s">
        <v>12</v>
      </c>
      <c r="B14" s="3" t="s">
        <v>20</v>
      </c>
      <c r="C14" s="3" t="s">
        <v>22</v>
      </c>
      <c r="D14" s="3" t="s">
        <v>32</v>
      </c>
      <c r="E14" s="3">
        <v>47000</v>
      </c>
      <c r="F14" s="3">
        <v>2020</v>
      </c>
    </row>
    <row r="15" spans="1:14" x14ac:dyDescent="0.25">
      <c r="A15" s="3" t="s">
        <v>13</v>
      </c>
      <c r="B15" s="3" t="s">
        <v>21</v>
      </c>
      <c r="C15" s="3" t="s">
        <v>23</v>
      </c>
      <c r="D15" s="3" t="s">
        <v>29</v>
      </c>
      <c r="E15" s="3">
        <v>54000</v>
      </c>
      <c r="F15" s="3">
        <v>2016</v>
      </c>
    </row>
  </sheetData>
  <mergeCells count="2">
    <mergeCell ref="B3:D4"/>
    <mergeCell ref="J5:L6"/>
  </mergeCells>
  <phoneticPr fontId="2" type="noConversion"/>
  <dataValidations count="1">
    <dataValidation type="list" allowBlank="1" showInputMessage="1" showErrorMessage="1" sqref="I10" xr:uid="{F47C066D-66EB-4A6A-88B6-275EF4EEF809}">
      <formula1>$A$8:$A$15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C31D-C7A4-41C2-A81A-23820E063C19}">
  <dimension ref="A1:S21"/>
  <sheetViews>
    <sheetView workbookViewId="0">
      <selection activeCell="N17" sqref="N17"/>
    </sheetView>
  </sheetViews>
  <sheetFormatPr defaultRowHeight="15" x14ac:dyDescent="0.25"/>
  <cols>
    <col min="1" max="1" width="11.7109375" bestFit="1" customWidth="1"/>
    <col min="2" max="2" width="14.140625" bestFit="1" customWidth="1"/>
    <col min="3" max="3" width="13.5703125" bestFit="1" customWidth="1"/>
    <col min="4" max="4" width="14.140625" bestFit="1" customWidth="1"/>
    <col min="5" max="5" width="13.5703125" bestFit="1" customWidth="1"/>
    <col min="6" max="6" width="11.85546875" bestFit="1" customWidth="1"/>
    <col min="7" max="7" width="12.5703125" bestFit="1" customWidth="1"/>
    <col min="9" max="9" width="11.7109375" bestFit="1" customWidth="1"/>
    <col min="10" max="10" width="14.140625" bestFit="1" customWidth="1"/>
    <col min="11" max="11" width="7.140625" bestFit="1" customWidth="1"/>
    <col min="12" max="12" width="14.140625" bestFit="1" customWidth="1"/>
    <col min="13" max="13" width="11.5703125" bestFit="1" customWidth="1"/>
    <col min="14" max="14" width="6.42578125" bestFit="1" customWidth="1"/>
  </cols>
  <sheetData>
    <row r="1" spans="1:19" ht="15.75" thickBot="1" x14ac:dyDescent="0.3">
      <c r="S1" s="3"/>
    </row>
    <row r="2" spans="1:19" ht="15.75" thickBot="1" x14ac:dyDescent="0.3">
      <c r="J2" s="34" t="s">
        <v>38</v>
      </c>
      <c r="K2" s="35"/>
      <c r="L2" s="36"/>
    </row>
    <row r="3" spans="1:19" ht="15.75" thickBot="1" x14ac:dyDescent="0.3">
      <c r="B3" s="40" t="s">
        <v>33</v>
      </c>
      <c r="C3" s="41"/>
      <c r="D3" s="42"/>
      <c r="J3" s="37"/>
      <c r="K3" s="38"/>
      <c r="L3" s="39"/>
    </row>
    <row r="4" spans="1:19" ht="15.75" thickBot="1" x14ac:dyDescent="0.3">
      <c r="B4" s="43"/>
      <c r="C4" s="44"/>
      <c r="D4" s="45"/>
    </row>
    <row r="5" spans="1:19" x14ac:dyDescent="0.25">
      <c r="I5" s="4" t="s">
        <v>2</v>
      </c>
      <c r="J5" s="4" t="s">
        <v>34</v>
      </c>
      <c r="K5" s="4" t="s">
        <v>23</v>
      </c>
      <c r="L5" s="4" t="s">
        <v>24</v>
      </c>
      <c r="M5" s="4" t="s">
        <v>35</v>
      </c>
      <c r="N5" s="4" t="s">
        <v>26</v>
      </c>
    </row>
    <row r="6" spans="1:19" x14ac:dyDescent="0.25">
      <c r="I6" s="3" t="s">
        <v>36</v>
      </c>
      <c r="J6" s="5">
        <v>0.1</v>
      </c>
      <c r="K6" s="5">
        <v>0.08</v>
      </c>
      <c r="L6" s="5">
        <v>0.12</v>
      </c>
      <c r="M6" s="5">
        <v>0.15</v>
      </c>
      <c r="N6" s="5">
        <v>0.09</v>
      </c>
    </row>
    <row r="7" spans="1:19" x14ac:dyDescent="0.25">
      <c r="A7" s="14" t="s">
        <v>0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</row>
    <row r="8" spans="1:19" x14ac:dyDescent="0.25">
      <c r="A8" s="14" t="s">
        <v>1</v>
      </c>
      <c r="B8" s="11" t="s">
        <v>14</v>
      </c>
      <c r="C8" s="11" t="s">
        <v>15</v>
      </c>
      <c r="D8" s="11" t="s">
        <v>42</v>
      </c>
      <c r="E8" s="11" t="s">
        <v>43</v>
      </c>
      <c r="F8" s="11" t="s">
        <v>44</v>
      </c>
      <c r="G8" s="12" t="s">
        <v>45</v>
      </c>
    </row>
    <row r="9" spans="1:19" ht="15.75" thickBot="1" x14ac:dyDescent="0.3">
      <c r="A9" s="14" t="s">
        <v>5</v>
      </c>
      <c r="B9" s="11">
        <v>2019</v>
      </c>
      <c r="C9" s="11">
        <v>2018</v>
      </c>
      <c r="D9" s="11">
        <v>2020</v>
      </c>
      <c r="E9" s="11">
        <v>2017</v>
      </c>
      <c r="F9" s="11">
        <v>2021</v>
      </c>
      <c r="G9" s="12">
        <v>2019</v>
      </c>
    </row>
    <row r="10" spans="1:19" x14ac:dyDescent="0.25">
      <c r="A10" s="14" t="s">
        <v>3</v>
      </c>
      <c r="B10" s="11" t="s">
        <v>46</v>
      </c>
      <c r="C10" s="11" t="s">
        <v>47</v>
      </c>
      <c r="D10" s="11" t="s">
        <v>48</v>
      </c>
      <c r="E10" s="11" t="s">
        <v>49</v>
      </c>
      <c r="F10" s="11" t="s">
        <v>46</v>
      </c>
      <c r="G10" s="12" t="s">
        <v>50</v>
      </c>
      <c r="J10" s="46" t="s">
        <v>53</v>
      </c>
      <c r="K10" s="47"/>
      <c r="L10" s="48"/>
    </row>
    <row r="11" spans="1:19" ht="15.75" thickBot="1" x14ac:dyDescent="0.3">
      <c r="A11" s="14" t="s">
        <v>4</v>
      </c>
      <c r="B11" s="11">
        <v>45000</v>
      </c>
      <c r="C11" s="11">
        <v>52000</v>
      </c>
      <c r="D11" s="11">
        <v>65000</v>
      </c>
      <c r="E11" s="11">
        <v>58000</v>
      </c>
      <c r="F11" s="11">
        <v>48000</v>
      </c>
      <c r="G11" s="12">
        <v>62000</v>
      </c>
      <c r="J11" s="49"/>
      <c r="K11" s="50"/>
      <c r="L11" s="51"/>
    </row>
    <row r="12" spans="1:19" x14ac:dyDescent="0.25">
      <c r="A12" s="14" t="s">
        <v>2</v>
      </c>
      <c r="B12" s="11" t="s">
        <v>34</v>
      </c>
      <c r="C12" s="11" t="s">
        <v>23</v>
      </c>
      <c r="D12" s="11" t="s">
        <v>24</v>
      </c>
      <c r="E12" s="11" t="s">
        <v>35</v>
      </c>
      <c r="F12" s="11" t="s">
        <v>26</v>
      </c>
      <c r="G12" s="12" t="s">
        <v>22</v>
      </c>
    </row>
    <row r="13" spans="1:19" x14ac:dyDescent="0.25">
      <c r="A13" s="14" t="s">
        <v>39</v>
      </c>
      <c r="B13" s="13">
        <v>0.1</v>
      </c>
      <c r="C13" s="13">
        <v>0.08</v>
      </c>
      <c r="D13" s="13">
        <v>0.12</v>
      </c>
      <c r="E13" s="13">
        <v>0.15</v>
      </c>
      <c r="F13" s="13">
        <v>0.12</v>
      </c>
      <c r="G13" s="13">
        <v>0.06</v>
      </c>
    </row>
    <row r="14" spans="1:19" x14ac:dyDescent="0.25">
      <c r="I14" s="6" t="s">
        <v>0</v>
      </c>
      <c r="J14" s="7" t="s">
        <v>40</v>
      </c>
      <c r="K14" s="7" t="s">
        <v>51</v>
      </c>
      <c r="M14" s="6" t="s">
        <v>58</v>
      </c>
      <c r="N14" s="7" t="s">
        <v>59</v>
      </c>
    </row>
    <row r="15" spans="1:19" x14ac:dyDescent="0.25">
      <c r="I15" s="6" t="s">
        <v>11</v>
      </c>
      <c r="J15" s="8" t="str">
        <f>HLOOKUP(I15,$A$7:$G$13,6,0)</f>
        <v>Sales</v>
      </c>
      <c r="K15" s="8">
        <f>HLOOKUP(I15,$A$7:$G$13,7,0)</f>
        <v>0.06</v>
      </c>
      <c r="M15" s="6" t="s">
        <v>35</v>
      </c>
      <c r="N15" s="7">
        <f>HLOOKUP(M15,I5:N6,2,0)</f>
        <v>0.15</v>
      </c>
    </row>
    <row r="17" spans="9:10" x14ac:dyDescent="0.25">
      <c r="I17" s="6" t="s">
        <v>0</v>
      </c>
      <c r="J17" s="7" t="s">
        <v>52</v>
      </c>
    </row>
    <row r="18" spans="9:10" x14ac:dyDescent="0.25">
      <c r="I18" s="6" t="s">
        <v>9</v>
      </c>
      <c r="J18" s="9">
        <f>E11*E13</f>
        <v>8700</v>
      </c>
    </row>
    <row r="20" spans="9:10" x14ac:dyDescent="0.25">
      <c r="I20" s="6" t="s">
        <v>2</v>
      </c>
      <c r="J20" s="7" t="s">
        <v>39</v>
      </c>
    </row>
    <row r="21" spans="9:10" x14ac:dyDescent="0.25">
      <c r="I21" s="6" t="s">
        <v>60</v>
      </c>
      <c r="J21" s="8" t="str">
        <f>IFERROR(HLOOKUP(I21,A7:G13,6,0),"no bouns data")</f>
        <v>no bouns data</v>
      </c>
    </row>
  </sheetData>
  <mergeCells count="3">
    <mergeCell ref="J2:L3"/>
    <mergeCell ref="B3:D4"/>
    <mergeCell ref="J10:L11"/>
  </mergeCells>
  <dataValidations count="2">
    <dataValidation type="list" allowBlank="1" showInputMessage="1" showErrorMessage="1" sqref="I15" xr:uid="{296D9719-69A2-4221-96D2-4CD02554F62B}">
      <formula1>$B$7:$G$7</formula1>
    </dataValidation>
    <dataValidation type="list" allowBlank="1" showInputMessage="1" showErrorMessage="1" sqref="M15" xr:uid="{05E319B7-5C28-4B38-AF11-65F96AFE4B49}">
      <formula1>$J$5:$N$5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B0B2-61C9-49D8-A9A2-82E9386E5EAF}">
  <dimension ref="A1:J21"/>
  <sheetViews>
    <sheetView tabSelected="1" workbookViewId="0">
      <selection activeCell="J17" sqref="J17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14.5703125" bestFit="1" customWidth="1"/>
    <col min="4" max="4" width="11.85546875" bestFit="1" customWidth="1"/>
    <col min="5" max="5" width="11.28515625" bestFit="1" customWidth="1"/>
    <col min="6" max="6" width="12.85546875" bestFit="1" customWidth="1"/>
    <col min="7" max="7" width="14.140625" customWidth="1"/>
    <col min="8" max="9" width="15.42578125" bestFit="1" customWidth="1"/>
    <col min="10" max="10" width="19.85546875" bestFit="1" customWidth="1"/>
    <col min="11" max="11" width="15.42578125" bestFit="1" customWidth="1"/>
    <col min="12" max="12" width="19.85546875" bestFit="1" customWidth="1"/>
  </cols>
  <sheetData>
    <row r="1" spans="1:10" ht="15.75" thickBot="1" x14ac:dyDescent="0.3"/>
    <row r="2" spans="1:10" ht="15.75" thickBot="1" x14ac:dyDescent="0.3">
      <c r="C2" s="52" t="s">
        <v>33</v>
      </c>
      <c r="D2" s="53"/>
      <c r="E2" s="54"/>
    </row>
    <row r="3" spans="1:10" ht="15.75" thickBot="1" x14ac:dyDescent="0.3">
      <c r="C3" s="55"/>
      <c r="D3" s="56"/>
      <c r="E3" s="57"/>
      <c r="H3" s="52" t="s">
        <v>55</v>
      </c>
      <c r="I3" s="53"/>
      <c r="J3" s="54"/>
    </row>
    <row r="4" spans="1:10" ht="15.75" thickBot="1" x14ac:dyDescent="0.3">
      <c r="H4" s="55"/>
      <c r="I4" s="56"/>
      <c r="J4" s="57"/>
    </row>
    <row r="5" spans="1:10" x14ac:dyDescent="0.25">
      <c r="A5" s="15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</row>
    <row r="6" spans="1:10" x14ac:dyDescent="0.25">
      <c r="A6" s="16" t="s">
        <v>6</v>
      </c>
      <c r="B6" s="16" t="s">
        <v>14</v>
      </c>
      <c r="C6" s="16" t="s">
        <v>22</v>
      </c>
      <c r="D6" s="16" t="s">
        <v>27</v>
      </c>
      <c r="E6" s="16">
        <v>45000</v>
      </c>
      <c r="F6" s="16">
        <v>2019</v>
      </c>
    </row>
    <row r="7" spans="1:10" x14ac:dyDescent="0.25">
      <c r="A7" s="16" t="s">
        <v>7</v>
      </c>
      <c r="B7" s="16" t="s">
        <v>15</v>
      </c>
      <c r="C7" s="16" t="s">
        <v>23</v>
      </c>
      <c r="D7" s="16" t="s">
        <v>28</v>
      </c>
      <c r="E7" s="16">
        <v>52000</v>
      </c>
      <c r="F7" s="16">
        <v>2018</v>
      </c>
      <c r="I7" s="15" t="s">
        <v>0</v>
      </c>
      <c r="J7" s="15" t="s">
        <v>4</v>
      </c>
    </row>
    <row r="8" spans="1:10" x14ac:dyDescent="0.25">
      <c r="A8" s="16" t="s">
        <v>8</v>
      </c>
      <c r="B8" s="16" t="s">
        <v>16</v>
      </c>
      <c r="C8" s="16" t="s">
        <v>24</v>
      </c>
      <c r="D8" s="16" t="s">
        <v>29</v>
      </c>
      <c r="E8" s="16">
        <v>65000</v>
      </c>
      <c r="F8" s="16">
        <v>2020</v>
      </c>
      <c r="I8" s="17" t="s">
        <v>8</v>
      </c>
      <c r="J8" s="17">
        <f>_xlfn.XLOOKUP(I8,A5:A13,E5:E13)</f>
        <v>65000</v>
      </c>
    </row>
    <row r="9" spans="1:10" x14ac:dyDescent="0.25">
      <c r="A9" s="16" t="s">
        <v>9</v>
      </c>
      <c r="B9" s="16" t="s">
        <v>17</v>
      </c>
      <c r="C9" s="16" t="s">
        <v>25</v>
      </c>
      <c r="D9" s="16" t="s">
        <v>30</v>
      </c>
      <c r="E9" s="16">
        <v>58000</v>
      </c>
      <c r="F9" s="16">
        <v>2017</v>
      </c>
      <c r="I9" s="10"/>
      <c r="J9" s="10"/>
    </row>
    <row r="10" spans="1:10" x14ac:dyDescent="0.25">
      <c r="A10" s="16" t="s">
        <v>10</v>
      </c>
      <c r="B10" s="16" t="s">
        <v>18</v>
      </c>
      <c r="C10" s="16" t="s">
        <v>26</v>
      </c>
      <c r="D10" s="16" t="s">
        <v>27</v>
      </c>
      <c r="E10" s="16">
        <v>48000</v>
      </c>
      <c r="F10" s="16">
        <v>2021</v>
      </c>
      <c r="I10" s="18" t="s">
        <v>56</v>
      </c>
      <c r="J10" s="18" t="s">
        <v>2</v>
      </c>
    </row>
    <row r="11" spans="1:10" x14ac:dyDescent="0.25">
      <c r="A11" s="16" t="s">
        <v>11</v>
      </c>
      <c r="B11" s="16" t="s">
        <v>19</v>
      </c>
      <c r="C11" s="16" t="s">
        <v>24</v>
      </c>
      <c r="D11" s="16" t="s">
        <v>31</v>
      </c>
      <c r="E11" s="16">
        <v>62000</v>
      </c>
      <c r="F11" s="16">
        <v>2019</v>
      </c>
      <c r="I11" s="17" t="s">
        <v>17</v>
      </c>
      <c r="J11" s="17" t="str">
        <f>_xlfn.XLOOKUP(I11,B6:B13,C6:C13)</f>
        <v>Finance</v>
      </c>
    </row>
    <row r="12" spans="1:10" x14ac:dyDescent="0.25">
      <c r="A12" s="16" t="s">
        <v>12</v>
      </c>
      <c r="B12" s="16" t="s">
        <v>20</v>
      </c>
      <c r="C12" s="16" t="s">
        <v>22</v>
      </c>
      <c r="D12" s="16" t="s">
        <v>32</v>
      </c>
      <c r="E12" s="16">
        <v>47000</v>
      </c>
      <c r="F12" s="16">
        <v>2020</v>
      </c>
      <c r="I12" s="10"/>
      <c r="J12" s="10"/>
    </row>
    <row r="13" spans="1:10" x14ac:dyDescent="0.25">
      <c r="A13" s="16" t="s">
        <v>13</v>
      </c>
      <c r="B13" s="16" t="s">
        <v>21</v>
      </c>
      <c r="C13" s="16" t="s">
        <v>23</v>
      </c>
      <c r="D13" s="16" t="s">
        <v>29</v>
      </c>
      <c r="E13" s="16">
        <v>54000</v>
      </c>
      <c r="F13" s="16">
        <v>2016</v>
      </c>
      <c r="I13" s="18" t="s">
        <v>1</v>
      </c>
      <c r="J13" s="18" t="s">
        <v>3</v>
      </c>
    </row>
    <row r="14" spans="1:10" x14ac:dyDescent="0.25">
      <c r="H14" s="10"/>
      <c r="I14" s="17" t="s">
        <v>16</v>
      </c>
      <c r="J14" s="17" t="str">
        <f>_xlfn.XLOOKUP(I14,B6:B13,D6:D13)</f>
        <v>Bagalore</v>
      </c>
    </row>
    <row r="15" spans="1:10" x14ac:dyDescent="0.25">
      <c r="A15" s="14" t="s">
        <v>0</v>
      </c>
      <c r="B15" s="11" t="s">
        <v>6</v>
      </c>
      <c r="C15" s="11" t="s">
        <v>7</v>
      </c>
      <c r="D15" s="11" t="s">
        <v>8</v>
      </c>
      <c r="E15" s="11" t="s">
        <v>9</v>
      </c>
      <c r="F15" s="11" t="s">
        <v>10</v>
      </c>
      <c r="G15" s="11" t="s">
        <v>11</v>
      </c>
    </row>
    <row r="16" spans="1:10" x14ac:dyDescent="0.25">
      <c r="A16" s="14" t="s">
        <v>1</v>
      </c>
      <c r="B16" s="11" t="s">
        <v>14</v>
      </c>
      <c r="C16" s="11" t="s">
        <v>15</v>
      </c>
      <c r="D16" s="11" t="s">
        <v>42</v>
      </c>
      <c r="E16" s="11" t="s">
        <v>43</v>
      </c>
      <c r="F16" s="11" t="s">
        <v>44</v>
      </c>
      <c r="G16" s="12" t="s">
        <v>45</v>
      </c>
      <c r="I16" s="18" t="s">
        <v>41</v>
      </c>
      <c r="J16" s="18" t="s">
        <v>1</v>
      </c>
    </row>
    <row r="17" spans="1:10" x14ac:dyDescent="0.25">
      <c r="A17" s="14" t="s">
        <v>5</v>
      </c>
      <c r="B17" s="11">
        <v>2019</v>
      </c>
      <c r="C17" s="11">
        <v>2018</v>
      </c>
      <c r="D17" s="11">
        <v>2020</v>
      </c>
      <c r="E17" s="11">
        <v>2017</v>
      </c>
      <c r="F17" s="11">
        <v>2021</v>
      </c>
      <c r="G17" s="12">
        <v>2019</v>
      </c>
      <c r="I17" s="17" t="s">
        <v>57</v>
      </c>
      <c r="J17" s="17" t="str">
        <f>_xlfn.XLOOKUP(I17,A6:A13,B6:B13,"Employee Not Found")</f>
        <v>Employee Not Found</v>
      </c>
    </row>
    <row r="18" spans="1:10" x14ac:dyDescent="0.25">
      <c r="A18" s="14" t="s">
        <v>3</v>
      </c>
      <c r="B18" s="11" t="s">
        <v>46</v>
      </c>
      <c r="C18" s="11" t="s">
        <v>47</v>
      </c>
      <c r="D18" s="11" t="s">
        <v>48</v>
      </c>
      <c r="E18" s="11" t="s">
        <v>49</v>
      </c>
      <c r="F18" s="11" t="s">
        <v>46</v>
      </c>
      <c r="G18" s="12" t="s">
        <v>50</v>
      </c>
    </row>
    <row r="19" spans="1:10" x14ac:dyDescent="0.25">
      <c r="A19" s="14" t="s">
        <v>4</v>
      </c>
      <c r="B19" s="11">
        <v>45000</v>
      </c>
      <c r="C19" s="11">
        <v>52000</v>
      </c>
      <c r="D19" s="11">
        <v>65000</v>
      </c>
      <c r="E19" s="11">
        <v>58000</v>
      </c>
      <c r="F19" s="11">
        <v>48000</v>
      </c>
      <c r="G19" s="12">
        <v>62000</v>
      </c>
      <c r="I19" s="19" t="s">
        <v>2</v>
      </c>
      <c r="J19" s="19" t="s">
        <v>39</v>
      </c>
    </row>
    <row r="20" spans="1:10" x14ac:dyDescent="0.25">
      <c r="A20" s="14" t="s">
        <v>2</v>
      </c>
      <c r="B20" s="11" t="s">
        <v>34</v>
      </c>
      <c r="C20" s="11" t="s">
        <v>23</v>
      </c>
      <c r="D20" s="11" t="s">
        <v>24</v>
      </c>
      <c r="E20" s="11" t="s">
        <v>35</v>
      </c>
      <c r="F20" s="11" t="s">
        <v>26</v>
      </c>
      <c r="G20" s="12" t="s">
        <v>22</v>
      </c>
      <c r="I20" s="20" t="s">
        <v>24</v>
      </c>
      <c r="J20" s="21">
        <f>_xlfn.XLOOKUP(I20,A20:G20,A21:G21)</f>
        <v>0.12</v>
      </c>
    </row>
    <row r="21" spans="1:10" x14ac:dyDescent="0.25">
      <c r="A21" s="14" t="s">
        <v>39</v>
      </c>
      <c r="B21" s="13">
        <v>0.1</v>
      </c>
      <c r="C21" s="13">
        <v>0.08</v>
      </c>
      <c r="D21" s="13">
        <v>0.12</v>
      </c>
      <c r="E21" s="13">
        <v>0.15</v>
      </c>
      <c r="F21" s="13">
        <v>0.12</v>
      </c>
      <c r="G21" s="13">
        <v>0.06</v>
      </c>
    </row>
  </sheetData>
  <mergeCells count="2">
    <mergeCell ref="C2:E3"/>
    <mergeCell ref="H3:J4"/>
  </mergeCells>
  <dataValidations count="2">
    <dataValidation type="list" allowBlank="1" showInputMessage="1" showErrorMessage="1" sqref="I8" xr:uid="{E16D7EAD-C05A-4F81-9E1D-1D75AB124EE6}">
      <formula1>$A$6:$A$13</formula1>
    </dataValidation>
    <dataValidation type="list" allowBlank="1" showInputMessage="1" showErrorMessage="1" sqref="I11 I14" xr:uid="{80CA18BC-A28A-4011-87A9-90BAF4440182}">
      <formula1>$B$6:$B$13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Xloolup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ASDC9</cp:lastModifiedBy>
  <dcterms:created xsi:type="dcterms:W3CDTF">2026-04-03T04:21:44Z</dcterms:created>
  <dcterms:modified xsi:type="dcterms:W3CDTF">2026-04-03T12:50:26Z</dcterms:modified>
</cp:coreProperties>
</file>