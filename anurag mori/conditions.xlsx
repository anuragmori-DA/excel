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nurag mori\"/>
    </mc:Choice>
  </mc:AlternateContent>
  <xr:revisionPtr revIDLastSave="0" documentId="13_ncr:1_{8B5308DA-8BC9-41CA-969A-6BA00731D517}" xr6:coauthVersionLast="47" xr6:coauthVersionMax="47" xr10:uidLastSave="{00000000-0000-0000-0000-000000000000}"/>
  <bookViews>
    <workbookView xWindow="-120" yWindow="-120" windowWidth="29040" windowHeight="15720" activeTab="9" xr2:uid="{DC5426C6-187F-4D3D-BC7B-D4938704E01B}"/>
  </bookViews>
  <sheets>
    <sheet name="task 1" sheetId="1" r:id="rId1"/>
    <sheet name="task 2" sheetId="2" r:id="rId2"/>
    <sheet name="task 3" sheetId="3" r:id="rId3"/>
    <sheet name="task 4" sheetId="4" r:id="rId4"/>
    <sheet name="task 5" sheetId="5" r:id="rId5"/>
    <sheet name="TASK 6" sheetId="6" r:id="rId6"/>
    <sheet name="TASK 7" sheetId="7" r:id="rId7"/>
    <sheet name="TASK 8" sheetId="8" r:id="rId8"/>
    <sheet name="task 9" sheetId="9" r:id="rId9"/>
    <sheet name="task 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8" i="7" l="1"/>
  <c r="G6" i="7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4" i="6"/>
  <c r="G4" i="5"/>
  <c r="F4" i="5"/>
  <c r="E6" i="5"/>
  <c r="E5" i="5"/>
  <c r="E4" i="5"/>
  <c r="G3" i="4"/>
  <c r="F3" i="4"/>
  <c r="E3" i="4"/>
  <c r="D3" i="4"/>
</calcChain>
</file>

<file path=xl/sharedStrings.xml><?xml version="1.0" encoding="utf-8"?>
<sst xmlns="http://schemas.openxmlformats.org/spreadsheetml/2006/main" count="398" uniqueCount="205">
  <si>
    <t>Employee id</t>
  </si>
  <si>
    <t>name</t>
  </si>
  <si>
    <t>department</t>
  </si>
  <si>
    <t>salary</t>
  </si>
  <si>
    <t>joninig date</t>
  </si>
  <si>
    <t>E101</t>
  </si>
  <si>
    <t>E102</t>
  </si>
  <si>
    <t>E103</t>
  </si>
  <si>
    <t>E104</t>
  </si>
  <si>
    <t>E105</t>
  </si>
  <si>
    <t>Amit sharma</t>
  </si>
  <si>
    <t>Neha verma</t>
  </si>
  <si>
    <t>Rahul mehta</t>
  </si>
  <si>
    <t>pooja singh</t>
  </si>
  <si>
    <t>ankit patle</t>
  </si>
  <si>
    <t>HR</t>
  </si>
  <si>
    <t>IT</t>
  </si>
  <si>
    <t>Finance</t>
  </si>
  <si>
    <t>it</t>
  </si>
  <si>
    <t>sales</t>
  </si>
  <si>
    <t>sales report</t>
  </si>
  <si>
    <t>product name</t>
  </si>
  <si>
    <t>sales amount</t>
  </si>
  <si>
    <t>salesperson</t>
  </si>
  <si>
    <t>laptop dell inspiration 15</t>
  </si>
  <si>
    <t>hp wireless mouse</t>
  </si>
  <si>
    <t>samsung 24-inch monitor</t>
  </si>
  <si>
    <t>lenovo thinkpad E14 laptop</t>
  </si>
  <si>
    <t>north</t>
  </si>
  <si>
    <t>west</t>
  </si>
  <si>
    <t>east</t>
  </si>
  <si>
    <t>south</t>
  </si>
  <si>
    <t>ramesh</t>
  </si>
  <si>
    <t>sneha</t>
  </si>
  <si>
    <t>arjun</t>
  </si>
  <si>
    <t>kavita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</si>
  <si>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</si>
  <si>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</si>
  <si>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</si>
  <si>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</si>
  <si>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</si>
  <si>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</si>
  <si>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</si>
  <si>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</si>
  <si>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</si>
  <si>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</si>
  <si>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</si>
  <si>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</si>
  <si>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</si>
  <si>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</si>
  <si>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</si>
  <si>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meet patel</t>
  </si>
  <si>
    <t>shery soni</t>
  </si>
  <si>
    <t>shyam sharma</t>
  </si>
  <si>
    <t>bhavy tank</t>
  </si>
  <si>
    <t>dhruvil vadher</t>
  </si>
  <si>
    <t>mehta meet</t>
  </si>
  <si>
    <t>ajay chavda</t>
  </si>
  <si>
    <t>vipul patel</t>
  </si>
  <si>
    <t>naman</t>
  </si>
  <si>
    <t>naman doni</t>
  </si>
  <si>
    <t>yash mori</t>
  </si>
  <si>
    <t>daxa yadav</t>
  </si>
  <si>
    <t>hiral chavda</t>
  </si>
  <si>
    <t>niket bhatt</t>
  </si>
  <si>
    <t>miral ahir</t>
  </si>
  <si>
    <t>deep kathi</t>
  </si>
  <si>
    <t>ADMIN</t>
  </si>
  <si>
    <t>SALES</t>
  </si>
  <si>
    <t>hr</t>
  </si>
  <si>
    <t>admin</t>
  </si>
  <si>
    <t>MARKETING</t>
  </si>
  <si>
    <t>marketing</t>
  </si>
  <si>
    <t>vivo v29</t>
  </si>
  <si>
    <t>ipone 16 pro</t>
  </si>
  <si>
    <t>hp laptop windows 7</t>
  </si>
  <si>
    <t>realme 9</t>
  </si>
  <si>
    <t>poco 15 pro</t>
  </si>
  <si>
    <t>pixcel 9 pro</t>
  </si>
  <si>
    <t>onplus burds</t>
  </si>
  <si>
    <t>hp wireless laptop</t>
  </si>
  <si>
    <t>lenovo mouse</t>
  </si>
  <si>
    <t>ipone 12</t>
  </si>
  <si>
    <t>ipad</t>
  </si>
  <si>
    <t>acer tablet</t>
  </si>
  <si>
    <t>oneplus 3rd pro burds</t>
  </si>
  <si>
    <t>yash</t>
  </si>
  <si>
    <t>meet</t>
  </si>
  <si>
    <t>jash</t>
  </si>
  <si>
    <t>dhruv</t>
  </si>
  <si>
    <t>dhruvil</t>
  </si>
  <si>
    <t>anu</t>
  </si>
  <si>
    <t>jenu</t>
  </si>
  <si>
    <t>krisha</t>
  </si>
  <si>
    <t>mital</t>
  </si>
  <si>
    <t>prit</t>
  </si>
  <si>
    <t>vaysh</t>
  </si>
  <si>
    <t>rishbh</t>
  </si>
  <si>
    <t>naitik</t>
  </si>
  <si>
    <t>mayank</t>
  </si>
  <si>
    <t>renil</t>
  </si>
  <si>
    <t>roll no</t>
  </si>
  <si>
    <t>student name</t>
  </si>
  <si>
    <t>maths</t>
  </si>
  <si>
    <t>science</t>
  </si>
  <si>
    <t>english</t>
  </si>
  <si>
    <t>percentage</t>
  </si>
  <si>
    <t>aakash</t>
  </si>
  <si>
    <t>deep</t>
  </si>
  <si>
    <t>miral</t>
  </si>
  <si>
    <t>shyam</t>
  </si>
  <si>
    <t>jenil</t>
  </si>
  <si>
    <t>aman</t>
  </si>
  <si>
    <t>dishant</t>
  </si>
  <si>
    <t>jenisha</t>
  </si>
  <si>
    <t>ritisha</t>
  </si>
  <si>
    <t>mahek</t>
  </si>
  <si>
    <t>rooshi</t>
  </si>
  <si>
    <t>bhavy</t>
  </si>
  <si>
    <t>amit</t>
  </si>
  <si>
    <t>dharmraj</t>
  </si>
  <si>
    <t>hari</t>
  </si>
  <si>
    <t>6-065-2019</t>
  </si>
  <si>
    <t>total</t>
  </si>
  <si>
    <t>invoice no</t>
  </si>
  <si>
    <t>date</t>
  </si>
  <si>
    <t>sales amout</t>
  </si>
  <si>
    <t>INV001</t>
  </si>
  <si>
    <t>INV002</t>
  </si>
  <si>
    <t>INV003</t>
  </si>
  <si>
    <t>INV004</t>
  </si>
  <si>
    <t>INV005</t>
  </si>
  <si>
    <t>INV006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</si>
  <si>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</si>
  <si>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</si>
  <si>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</si>
  <si>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</si>
  <si>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</si>
  <si>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</si>
  <si>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</si>
  <si>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</si>
  <si>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</si>
  <si>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</si>
  <si>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</si>
  <si>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</si>
  <si>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INV019</t>
  </si>
  <si>
    <t>INV020</t>
  </si>
  <si>
    <t xml:space="preserve"> 02-03-2024</t>
  </si>
  <si>
    <t>average sales</t>
  </si>
  <si>
    <t>total sales</t>
  </si>
  <si>
    <t>highest</t>
  </si>
  <si>
    <t>lowest</t>
  </si>
  <si>
    <t>employee name</t>
  </si>
  <si>
    <t>suresh</t>
  </si>
  <si>
    <t>anurag</t>
  </si>
  <si>
    <t>yug</t>
  </si>
  <si>
    <t>hemal</t>
  </si>
  <si>
    <t>romit</t>
  </si>
  <si>
    <t>krish</t>
  </si>
  <si>
    <t>aryan</t>
  </si>
  <si>
    <t>khushal</t>
  </si>
  <si>
    <t>hemangi</t>
  </si>
  <si>
    <t>FINANCE</t>
  </si>
  <si>
    <t>average salary</t>
  </si>
  <si>
    <t>count employee</t>
  </si>
  <si>
    <t>total salary</t>
  </si>
  <si>
    <t>STUDENT NAME</t>
  </si>
  <si>
    <t>DAY1</t>
  </si>
  <si>
    <t>DAY2</t>
  </si>
  <si>
    <t>DAY3</t>
  </si>
  <si>
    <t>DAY4</t>
  </si>
  <si>
    <t>DAY5</t>
  </si>
  <si>
    <t>AMIT</t>
  </si>
  <si>
    <t>MAYANK</t>
  </si>
  <si>
    <t>MANISH</t>
  </si>
  <si>
    <t>CHETAN</t>
  </si>
  <si>
    <t>BHAVY</t>
  </si>
  <si>
    <t>ANU</t>
  </si>
  <si>
    <t>MIRAL</t>
  </si>
  <si>
    <t>NEHA</t>
  </si>
  <si>
    <t>NIKITA</t>
  </si>
  <si>
    <t>KAVI</t>
  </si>
  <si>
    <t>HEMAL</t>
  </si>
  <si>
    <t>DHGAYNI</t>
  </si>
  <si>
    <t>HIRAL</t>
  </si>
  <si>
    <t>VAYS</t>
  </si>
  <si>
    <t>ARYAN</t>
  </si>
  <si>
    <t>P</t>
  </si>
  <si>
    <t>A</t>
  </si>
  <si>
    <t>PRESENT</t>
  </si>
  <si>
    <t>ABSENT</t>
  </si>
  <si>
    <t>ORDER ID</t>
  </si>
  <si>
    <t>SALES AMOUNT</t>
  </si>
  <si>
    <t>SALES ABVOE 1000</t>
  </si>
  <si>
    <t>SALES BELOW 5000</t>
  </si>
  <si>
    <t>PRODUCT</t>
  </si>
  <si>
    <t>SALES  AMOUNT</t>
  </si>
  <si>
    <t>mobile</t>
  </si>
  <si>
    <t>laptop</t>
  </si>
  <si>
    <t>kayborard</t>
  </si>
  <si>
    <t>tablet</t>
  </si>
  <si>
    <t>marks</t>
  </si>
  <si>
    <t>amna</t>
  </si>
  <si>
    <t>hiral</t>
  </si>
  <si>
    <t>vays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</si>
</sst>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 Rounded MT Bold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164" fontId="0" fillId="0" borderId="0" xfId="0" applyNumberFormat="1"/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14" fontId="0" fillId="0" borderId="0" xfId="0" applyNumberFormat="1"/>
    <xf numFmtId="49" fontId="0" fillId="0" borderId="0" xfId="0" applyNumberFormat="1"/>
    <xf numFmtId="0" fontId="0" fillId="0" borderId="1" xfId="0" applyBorder="1"/>
    <xf numFmtId="49" fontId="0" fillId="0" borderId="1" xfId="0" applyNumberFormat="1" applyBorder="1"/>
    <xf numFmtId="0" fontId="5" fillId="0" borderId="1" xfId="0" applyFont="1" applyBorder="1"/>
    <xf numFmtId="14" fontId="5" fillId="0" borderId="1" xfId="0" applyNumberFormat="1" applyFont="1" applyBorder="1"/>
    <xf numFmtId="49" fontId="5" fillId="0" borderId="1" xfId="0" applyNumberFormat="1" applyFont="1" applyBorder="1"/>
    <xf numFmtId="0" fontId="0" fillId="0" borderId="0" xfId="0" applyAlignment="1"/>
    <xf numFmtId="0" fontId="5" fillId="0" borderId="1" xfId="0" applyFont="1" applyFill="1" applyBorder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15">
    <dxf>
      <font>
        <color theme="9" tint="-0.499984740745262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9" tint="-0.499984740745262"/>
      </font>
    </dxf>
    <dxf>
      <font>
        <color theme="9" tint="-0.499984740745262"/>
      </font>
    </dxf>
    <dxf>
      <font>
        <color theme="9" tint="-0.24994659260841701"/>
      </font>
    </dxf>
    <dxf>
      <font>
        <color rgb="FF9C0006"/>
      </font>
    </dxf>
    <dxf>
      <font>
        <color theme="9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B690-BA8D-4ED5-96CE-3182ADE64035}">
  <dimension ref="A2:E23"/>
  <sheetViews>
    <sheetView workbookViewId="0">
      <selection activeCell="E23" sqref="E23"/>
    </sheetView>
  </sheetViews>
  <sheetFormatPr defaultRowHeight="15" x14ac:dyDescent="0.25"/>
  <cols>
    <col min="1" max="1" width="14.5703125" customWidth="1"/>
    <col min="2" max="2" width="14.85546875" customWidth="1"/>
    <col min="3" max="3" width="13.28515625" customWidth="1"/>
    <col min="4" max="4" width="16.140625" style="1" bestFit="1" customWidth="1"/>
    <col min="5" max="5" width="15.7109375" bestFit="1" customWidth="1"/>
  </cols>
  <sheetData>
    <row r="2" spans="1:5" x14ac:dyDescent="0.25">
      <c r="D2"/>
    </row>
    <row r="3" spans="1:5" x14ac:dyDescent="0.25">
      <c r="A3" s="4" t="s">
        <v>0</v>
      </c>
      <c r="B3" s="4" t="s">
        <v>1</v>
      </c>
      <c r="C3" s="4" t="s">
        <v>2</v>
      </c>
      <c r="D3" s="5" t="s">
        <v>3</v>
      </c>
      <c r="E3" s="4" t="s">
        <v>4</v>
      </c>
    </row>
    <row r="4" spans="1:5" x14ac:dyDescent="0.25">
      <c r="A4" s="4" t="s">
        <v>5</v>
      </c>
      <c r="B4" s="4" t="s">
        <v>10</v>
      </c>
      <c r="C4" s="4" t="s">
        <v>15</v>
      </c>
      <c r="D4" s="5">
        <v>32000</v>
      </c>
      <c r="E4" s="6">
        <v>44573</v>
      </c>
    </row>
    <row r="5" spans="1:5" x14ac:dyDescent="0.25">
      <c r="A5" s="4" t="s">
        <v>6</v>
      </c>
      <c r="B5" s="4" t="s">
        <v>11</v>
      </c>
      <c r="C5" s="4" t="s">
        <v>16</v>
      </c>
      <c r="D5" s="5">
        <v>45000</v>
      </c>
      <c r="E5" s="6">
        <v>44260</v>
      </c>
    </row>
    <row r="6" spans="1:5" x14ac:dyDescent="0.25">
      <c r="A6" s="4" t="s">
        <v>7</v>
      </c>
      <c r="B6" s="4" t="s">
        <v>12</v>
      </c>
      <c r="C6" s="4" t="s">
        <v>17</v>
      </c>
      <c r="D6" s="5">
        <v>38000</v>
      </c>
      <c r="E6" s="6">
        <v>44030</v>
      </c>
    </row>
    <row r="7" spans="1:5" x14ac:dyDescent="0.25">
      <c r="A7" s="4" t="s">
        <v>8</v>
      </c>
      <c r="B7" s="4" t="s">
        <v>13</v>
      </c>
      <c r="C7" s="4" t="s">
        <v>18</v>
      </c>
      <c r="D7" s="5">
        <v>52000</v>
      </c>
      <c r="E7" s="6">
        <v>43779</v>
      </c>
    </row>
    <row r="8" spans="1:5" x14ac:dyDescent="0.25">
      <c r="A8" s="4" t="s">
        <v>9</v>
      </c>
      <c r="B8" s="4" t="s">
        <v>14</v>
      </c>
      <c r="C8" s="4" t="s">
        <v>19</v>
      </c>
      <c r="D8" s="5">
        <v>30000</v>
      </c>
      <c r="E8" s="6">
        <v>45102</v>
      </c>
    </row>
    <row r="9" spans="1:5" x14ac:dyDescent="0.25">
      <c r="A9" s="4" t="s">
        <v>36</v>
      </c>
      <c r="B9" s="4" t="s">
        <v>51</v>
      </c>
      <c r="C9" s="4" t="s">
        <v>67</v>
      </c>
      <c r="D9" s="5">
        <v>55000</v>
      </c>
      <c r="E9" s="6">
        <v>44617</v>
      </c>
    </row>
    <row r="10" spans="1:5" x14ac:dyDescent="0.25">
      <c r="A10" s="4" t="s">
        <v>37</v>
      </c>
      <c r="B10" s="4" t="s">
        <v>52</v>
      </c>
      <c r="C10" s="4" t="s">
        <v>68</v>
      </c>
      <c r="D10" s="5">
        <v>546510</v>
      </c>
      <c r="E10" s="6">
        <v>44966</v>
      </c>
    </row>
    <row r="11" spans="1:5" x14ac:dyDescent="0.25">
      <c r="A11" s="4" t="s">
        <v>38</v>
      </c>
      <c r="B11" s="4" t="s">
        <v>53</v>
      </c>
      <c r="C11" s="4" t="s">
        <v>17</v>
      </c>
      <c r="D11" s="5">
        <v>65465</v>
      </c>
      <c r="E11" s="6">
        <v>44844</v>
      </c>
    </row>
    <row r="12" spans="1:5" x14ac:dyDescent="0.25">
      <c r="A12" s="4" t="s">
        <v>39</v>
      </c>
      <c r="B12" s="4" t="s">
        <v>54</v>
      </c>
      <c r="C12" s="4" t="s">
        <v>69</v>
      </c>
      <c r="D12" s="5">
        <v>15886</v>
      </c>
      <c r="E12" s="6">
        <v>41768</v>
      </c>
    </row>
    <row r="13" spans="1:5" x14ac:dyDescent="0.25">
      <c r="A13" s="4" t="s">
        <v>40</v>
      </c>
      <c r="B13" s="4" t="s">
        <v>55</v>
      </c>
      <c r="C13" s="4" t="s">
        <v>70</v>
      </c>
      <c r="D13" s="5">
        <v>60000</v>
      </c>
      <c r="E13" s="6">
        <v>43655</v>
      </c>
    </row>
    <row r="14" spans="1:5" x14ac:dyDescent="0.25">
      <c r="A14" s="4" t="s">
        <v>41</v>
      </c>
      <c r="B14" s="4" t="s">
        <v>56</v>
      </c>
      <c r="C14" s="4" t="s">
        <v>71</v>
      </c>
      <c r="D14" s="5">
        <v>86000</v>
      </c>
      <c r="E14" s="6">
        <v>44964</v>
      </c>
    </row>
    <row r="15" spans="1:5" x14ac:dyDescent="0.25">
      <c r="A15" s="4" t="s">
        <v>42</v>
      </c>
      <c r="B15" s="4" t="s">
        <v>57</v>
      </c>
      <c r="C15" s="4" t="s">
        <v>15</v>
      </c>
      <c r="D15" s="5">
        <v>21250</v>
      </c>
      <c r="E15" s="6">
        <v>44295</v>
      </c>
    </row>
    <row r="16" spans="1:5" x14ac:dyDescent="0.25">
      <c r="A16" s="4" t="s">
        <v>43</v>
      </c>
      <c r="B16" s="4" t="s">
        <v>58</v>
      </c>
      <c r="C16" s="4" t="s">
        <v>17</v>
      </c>
      <c r="D16" s="5">
        <v>78910</v>
      </c>
      <c r="E16" s="6">
        <v>44597</v>
      </c>
    </row>
    <row r="17" spans="1:5" x14ac:dyDescent="0.25">
      <c r="A17" s="4" t="s">
        <v>44</v>
      </c>
      <c r="B17" s="4" t="s">
        <v>60</v>
      </c>
      <c r="C17" s="4" t="s">
        <v>72</v>
      </c>
      <c r="D17" s="5">
        <v>33000</v>
      </c>
      <c r="E17" s="6" t="s">
        <v>122</v>
      </c>
    </row>
    <row r="18" spans="1:5" x14ac:dyDescent="0.25">
      <c r="A18" s="4" t="s">
        <v>45</v>
      </c>
      <c r="B18" s="4" t="s">
        <v>61</v>
      </c>
      <c r="C18" s="4" t="s">
        <v>18</v>
      </c>
      <c r="D18" s="5">
        <v>56000</v>
      </c>
      <c r="E18" s="6">
        <v>45022</v>
      </c>
    </row>
    <row r="19" spans="1:5" x14ac:dyDescent="0.25">
      <c r="A19" s="4" t="s">
        <v>46</v>
      </c>
      <c r="B19" s="4" t="s">
        <v>62</v>
      </c>
      <c r="C19" s="4" t="s">
        <v>16</v>
      </c>
      <c r="D19" s="5">
        <v>65000</v>
      </c>
      <c r="E19" s="6">
        <v>44415</v>
      </c>
    </row>
    <row r="20" spans="1:5" x14ac:dyDescent="0.25">
      <c r="A20" s="4" t="s">
        <v>47</v>
      </c>
      <c r="B20" s="4" t="s">
        <v>63</v>
      </c>
      <c r="C20" s="4" t="s">
        <v>67</v>
      </c>
      <c r="D20" s="5">
        <v>154886</v>
      </c>
      <c r="E20" s="6">
        <v>45232</v>
      </c>
    </row>
    <row r="21" spans="1:5" x14ac:dyDescent="0.25">
      <c r="A21" s="4" t="s">
        <v>48</v>
      </c>
      <c r="B21" s="4" t="s">
        <v>64</v>
      </c>
      <c r="C21" s="4" t="s">
        <v>17</v>
      </c>
      <c r="D21" s="5">
        <v>150000</v>
      </c>
      <c r="E21" s="6">
        <v>44541</v>
      </c>
    </row>
    <row r="22" spans="1:5" x14ac:dyDescent="0.25">
      <c r="A22" s="4" t="s">
        <v>49</v>
      </c>
      <c r="B22" s="4" t="s">
        <v>65</v>
      </c>
      <c r="C22" s="4" t="s">
        <v>19</v>
      </c>
      <c r="D22" s="5">
        <v>12000</v>
      </c>
      <c r="E22" s="6">
        <v>44966</v>
      </c>
    </row>
    <row r="23" spans="1:5" x14ac:dyDescent="0.25">
      <c r="A23" s="4" t="s">
        <v>50</v>
      </c>
      <c r="B23" s="4" t="s">
        <v>66</v>
      </c>
      <c r="C23" s="4" t="s">
        <v>69</v>
      </c>
      <c r="D23" s="5">
        <v>35000</v>
      </c>
      <c r="E23" s="6">
        <v>45209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70D9E-22C6-48E5-A883-D2FCD5AB2249}">
  <dimension ref="A2:J24"/>
  <sheetViews>
    <sheetView workbookViewId="0">
      <selection activeCell="F7" sqref="F7"/>
    </sheetView>
  </sheetViews>
  <sheetFormatPr defaultRowHeight="15" x14ac:dyDescent="0.25"/>
  <cols>
    <col min="1" max="1" width="25.5703125" style="7" bestFit="1" customWidth="1"/>
    <col min="2" max="2" width="6.7109375" style="7" bestFit="1" customWidth="1"/>
    <col min="3" max="3" width="12.7109375" style="8" bestFit="1" customWidth="1"/>
    <col min="4" max="4" width="11.5703125" style="7" bestFit="1" customWidth="1"/>
    <col min="5" max="16384" width="9.140625" style="7"/>
  </cols>
  <sheetData>
    <row r="2" spans="1:10" ht="23.25" x14ac:dyDescent="0.25">
      <c r="B2" s="10" t="s">
        <v>20</v>
      </c>
      <c r="C2" s="10"/>
      <c r="D2" s="10"/>
      <c r="E2" s="10"/>
      <c r="F2" s="10"/>
      <c r="G2" s="10"/>
      <c r="H2" s="10"/>
      <c r="I2" s="10"/>
      <c r="J2" s="10"/>
    </row>
    <row r="4" spans="1:10" ht="15.75" x14ac:dyDescent="0.25">
      <c r="A4" s="9" t="s">
        <v>21</v>
      </c>
      <c r="B4" s="2" t="s">
        <v>28</v>
      </c>
      <c r="C4" s="3" t="s">
        <v>22</v>
      </c>
      <c r="D4" s="2" t="s">
        <v>23</v>
      </c>
    </row>
    <row r="5" spans="1:10" ht="15.75" x14ac:dyDescent="0.25">
      <c r="A5" s="9" t="s">
        <v>24</v>
      </c>
      <c r="B5" s="2" t="s">
        <v>29</v>
      </c>
      <c r="C5" s="3">
        <v>45000</v>
      </c>
      <c r="D5" s="2" t="s">
        <v>32</v>
      </c>
    </row>
    <row r="6" spans="1:10" ht="15.75" x14ac:dyDescent="0.25">
      <c r="A6" s="9" t="s">
        <v>25</v>
      </c>
      <c r="B6" s="2" t="s">
        <v>30</v>
      </c>
      <c r="C6" s="3">
        <v>1200</v>
      </c>
      <c r="D6" s="2" t="s">
        <v>33</v>
      </c>
    </row>
    <row r="7" spans="1:10" ht="15.75" x14ac:dyDescent="0.25">
      <c r="A7" s="9" t="s">
        <v>26</v>
      </c>
      <c r="B7" s="2" t="s">
        <v>31</v>
      </c>
      <c r="C7" s="3">
        <v>18000</v>
      </c>
      <c r="D7" s="2" t="s">
        <v>34</v>
      </c>
    </row>
    <row r="8" spans="1:10" ht="31.5" x14ac:dyDescent="0.25">
      <c r="A8" s="9" t="s">
        <v>27</v>
      </c>
      <c r="B8" s="2" t="s">
        <v>31</v>
      </c>
      <c r="C8" s="3">
        <v>62000</v>
      </c>
      <c r="D8" s="2" t="s">
        <v>35</v>
      </c>
    </row>
    <row r="9" spans="1:10" ht="15.75" x14ac:dyDescent="0.25">
      <c r="A9" s="2" t="s">
        <v>25</v>
      </c>
      <c r="B9" s="2" t="s">
        <v>28</v>
      </c>
      <c r="C9" s="3">
        <v>5100</v>
      </c>
      <c r="D9" s="2" t="s">
        <v>86</v>
      </c>
    </row>
    <row r="10" spans="1:10" ht="15.75" x14ac:dyDescent="0.25">
      <c r="A10" s="2" t="s">
        <v>73</v>
      </c>
      <c r="B10" s="2" t="s">
        <v>29</v>
      </c>
      <c r="C10" s="3">
        <v>88000</v>
      </c>
      <c r="D10" s="2" t="s">
        <v>87</v>
      </c>
    </row>
    <row r="11" spans="1:10" ht="15.75" x14ac:dyDescent="0.25">
      <c r="A11" s="2" t="s">
        <v>74</v>
      </c>
      <c r="B11" s="2" t="s">
        <v>30</v>
      </c>
      <c r="C11" s="3">
        <v>7788</v>
      </c>
      <c r="D11" s="2" t="s">
        <v>88</v>
      </c>
    </row>
    <row r="12" spans="1:10" ht="15.75" x14ac:dyDescent="0.25">
      <c r="A12" s="2" t="s">
        <v>75</v>
      </c>
      <c r="B12" s="2" t="s">
        <v>31</v>
      </c>
      <c r="C12" s="3">
        <v>10000</v>
      </c>
      <c r="D12" s="2" t="s">
        <v>89</v>
      </c>
    </row>
    <row r="13" spans="1:10" ht="15.75" x14ac:dyDescent="0.25">
      <c r="A13" s="2" t="s">
        <v>76</v>
      </c>
      <c r="B13" s="2" t="s">
        <v>28</v>
      </c>
      <c r="C13" s="3">
        <v>12300</v>
      </c>
      <c r="D13" s="2" t="s">
        <v>90</v>
      </c>
    </row>
    <row r="14" spans="1:10" ht="15.75" x14ac:dyDescent="0.25">
      <c r="A14" s="2" t="s">
        <v>77</v>
      </c>
      <c r="B14" s="2" t="s">
        <v>29</v>
      </c>
      <c r="C14" s="3">
        <v>50000</v>
      </c>
      <c r="D14" s="2" t="s">
        <v>91</v>
      </c>
    </row>
    <row r="15" spans="1:10" ht="15.75" x14ac:dyDescent="0.25">
      <c r="A15" s="2" t="s">
        <v>78</v>
      </c>
      <c r="B15" s="2" t="s">
        <v>30</v>
      </c>
      <c r="C15" s="3">
        <v>86000</v>
      </c>
      <c r="D15" s="2" t="s">
        <v>92</v>
      </c>
    </row>
    <row r="16" spans="1:10" ht="15.75" x14ac:dyDescent="0.25">
      <c r="A16" s="2" t="s">
        <v>79</v>
      </c>
      <c r="B16" s="2" t="s">
        <v>31</v>
      </c>
      <c r="C16" s="3">
        <v>43000</v>
      </c>
      <c r="D16" s="2" t="s">
        <v>93</v>
      </c>
    </row>
    <row r="17" spans="1:4" ht="15.75" x14ac:dyDescent="0.25">
      <c r="A17" s="2" t="s">
        <v>80</v>
      </c>
      <c r="B17" s="2" t="s">
        <v>28</v>
      </c>
      <c r="C17" s="3">
        <v>12000</v>
      </c>
      <c r="D17" s="2" t="s">
        <v>94</v>
      </c>
    </row>
    <row r="18" spans="1:4" ht="15.75" x14ac:dyDescent="0.25">
      <c r="A18" s="2" t="s">
        <v>81</v>
      </c>
      <c r="B18" s="2" t="s">
        <v>29</v>
      </c>
      <c r="C18" s="3">
        <v>65000</v>
      </c>
      <c r="D18" s="2" t="s">
        <v>59</v>
      </c>
    </row>
    <row r="19" spans="1:4" ht="15.75" x14ac:dyDescent="0.25">
      <c r="A19" s="2" t="s">
        <v>24</v>
      </c>
      <c r="B19" s="2" t="s">
        <v>30</v>
      </c>
      <c r="C19" s="3">
        <v>70000</v>
      </c>
      <c r="D19" s="2" t="s">
        <v>95</v>
      </c>
    </row>
    <row r="20" spans="1:4" ht="15.75" x14ac:dyDescent="0.25">
      <c r="A20" s="2" t="s">
        <v>26</v>
      </c>
      <c r="B20" s="2" t="s">
        <v>31</v>
      </c>
      <c r="C20" s="3">
        <v>54000</v>
      </c>
      <c r="D20" s="2" t="s">
        <v>96</v>
      </c>
    </row>
    <row r="21" spans="1:4" ht="15.75" x14ac:dyDescent="0.25">
      <c r="A21" s="2" t="s">
        <v>82</v>
      </c>
      <c r="B21" s="2" t="s">
        <v>28</v>
      </c>
      <c r="C21" s="3">
        <v>31213</v>
      </c>
      <c r="D21" s="2" t="s">
        <v>97</v>
      </c>
    </row>
    <row r="22" spans="1:4" ht="15.75" x14ac:dyDescent="0.25">
      <c r="A22" s="2" t="s">
        <v>83</v>
      </c>
      <c r="B22" s="2" t="s">
        <v>29</v>
      </c>
      <c r="C22" s="3">
        <v>19000</v>
      </c>
      <c r="D22" s="2" t="s">
        <v>98</v>
      </c>
    </row>
    <row r="23" spans="1:4" ht="15.75" x14ac:dyDescent="0.25">
      <c r="A23" s="2" t="s">
        <v>84</v>
      </c>
      <c r="B23" s="2" t="s">
        <v>30</v>
      </c>
      <c r="C23" s="3">
        <v>35500</v>
      </c>
      <c r="D23" s="2" t="s">
        <v>99</v>
      </c>
    </row>
    <row r="24" spans="1:4" ht="15.75" x14ac:dyDescent="0.25">
      <c r="A24" s="2" t="s">
        <v>85</v>
      </c>
      <c r="B24" s="2" t="s">
        <v>31</v>
      </c>
      <c r="C24" s="3">
        <v>15456</v>
      </c>
      <c r="D24" s="2" t="s">
        <v>100</v>
      </c>
    </row>
  </sheetData>
  <mergeCells count="1">
    <mergeCell ref="B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A4D17-0EBF-45D5-BAA4-FFDB798E11DB}">
  <dimension ref="A1:J21"/>
  <sheetViews>
    <sheetView workbookViewId="0">
      <selection activeCell="C2" sqref="C2:G21"/>
    </sheetView>
  </sheetViews>
  <sheetFormatPr defaultRowHeight="15" x14ac:dyDescent="0.25"/>
  <cols>
    <col min="1" max="1" width="6.7109375" bestFit="1" customWidth="1"/>
    <col min="2" max="2" width="13.42578125" bestFit="1" customWidth="1"/>
    <col min="3" max="3" width="6.42578125" bestFit="1" customWidth="1"/>
    <col min="4" max="4" width="7.5703125" bestFit="1" customWidth="1"/>
    <col min="5" max="5" width="7.42578125" bestFit="1" customWidth="1"/>
    <col min="6" max="6" width="5.140625" bestFit="1" customWidth="1"/>
    <col min="7" max="7" width="12" bestFit="1" customWidth="1"/>
  </cols>
  <sheetData>
    <row r="1" spans="1:10" x14ac:dyDescent="0.25">
      <c r="A1" s="11" t="s">
        <v>101</v>
      </c>
      <c r="B1" s="11" t="s">
        <v>102</v>
      </c>
      <c r="C1" s="11" t="s">
        <v>103</v>
      </c>
      <c r="D1" s="11" t="s">
        <v>104</v>
      </c>
      <c r="E1" s="11" t="s">
        <v>105</v>
      </c>
      <c r="F1" s="11" t="s">
        <v>123</v>
      </c>
      <c r="G1" s="11" t="s">
        <v>106</v>
      </c>
    </row>
    <row r="2" spans="1:10" x14ac:dyDescent="0.25">
      <c r="A2" s="12">
        <v>1</v>
      </c>
      <c r="B2" s="12" t="s">
        <v>107</v>
      </c>
      <c r="C2" s="13">
        <v>58</v>
      </c>
      <c r="D2" s="13">
        <v>64</v>
      </c>
      <c r="E2" s="13">
        <v>92</v>
      </c>
      <c r="F2" s="14">
        <v>214</v>
      </c>
      <c r="G2" s="14">
        <v>71.333333333333329</v>
      </c>
    </row>
    <row r="3" spans="1:10" x14ac:dyDescent="0.25">
      <c r="A3" s="12">
        <v>2</v>
      </c>
      <c r="B3" s="12" t="s">
        <v>87</v>
      </c>
      <c r="C3" s="13">
        <v>88</v>
      </c>
      <c r="D3" s="13">
        <v>74</v>
      </c>
      <c r="E3" s="13">
        <v>83</v>
      </c>
      <c r="F3" s="14">
        <v>245</v>
      </c>
      <c r="G3" s="14">
        <v>81.666666666666671</v>
      </c>
    </row>
    <row r="4" spans="1:10" x14ac:dyDescent="0.25">
      <c r="A4" s="12">
        <v>3</v>
      </c>
      <c r="B4" s="12" t="s">
        <v>108</v>
      </c>
      <c r="C4" s="13">
        <v>61</v>
      </c>
      <c r="D4" s="13">
        <v>42</v>
      </c>
      <c r="E4" s="13">
        <v>86</v>
      </c>
      <c r="F4" s="14">
        <v>189</v>
      </c>
      <c r="G4" s="14">
        <v>63</v>
      </c>
    </row>
    <row r="5" spans="1:10" x14ac:dyDescent="0.25">
      <c r="A5" s="12">
        <v>4</v>
      </c>
      <c r="B5" s="12" t="s">
        <v>109</v>
      </c>
      <c r="C5" s="13">
        <v>52</v>
      </c>
      <c r="D5" s="13">
        <v>78</v>
      </c>
      <c r="E5" s="13">
        <v>57</v>
      </c>
      <c r="F5" s="14">
        <v>187</v>
      </c>
      <c r="G5" s="14">
        <v>62.333333333333336</v>
      </c>
    </row>
    <row r="6" spans="1:10" x14ac:dyDescent="0.25">
      <c r="A6" s="12">
        <v>5</v>
      </c>
      <c r="B6" s="12" t="s">
        <v>110</v>
      </c>
      <c r="C6" s="13">
        <v>49</v>
      </c>
      <c r="D6" s="13">
        <v>80</v>
      </c>
      <c r="E6" s="13">
        <v>55</v>
      </c>
      <c r="F6" s="14">
        <v>184</v>
      </c>
      <c r="G6" s="14">
        <v>61.333333333333336</v>
      </c>
    </row>
    <row r="7" spans="1:10" x14ac:dyDescent="0.25">
      <c r="A7" s="12">
        <v>6</v>
      </c>
      <c r="B7" s="12" t="s">
        <v>111</v>
      </c>
      <c r="C7" s="13">
        <v>66</v>
      </c>
      <c r="D7" s="13">
        <v>68</v>
      </c>
      <c r="E7" s="13">
        <v>91</v>
      </c>
      <c r="F7" s="14">
        <v>225</v>
      </c>
      <c r="G7" s="14">
        <v>75</v>
      </c>
    </row>
    <row r="8" spans="1:10" x14ac:dyDescent="0.25">
      <c r="A8" s="12">
        <v>7</v>
      </c>
      <c r="B8" s="12" t="s">
        <v>88</v>
      </c>
      <c r="C8" s="13">
        <v>34</v>
      </c>
      <c r="D8" s="13">
        <v>47</v>
      </c>
      <c r="E8" s="13">
        <v>89</v>
      </c>
      <c r="F8" s="14">
        <v>170</v>
      </c>
      <c r="G8" s="14">
        <v>56.666666666666664</v>
      </c>
    </row>
    <row r="9" spans="1:10" x14ac:dyDescent="0.25">
      <c r="A9" s="12">
        <v>8</v>
      </c>
      <c r="B9" s="12" t="s">
        <v>112</v>
      </c>
      <c r="C9" s="13">
        <v>41</v>
      </c>
      <c r="D9" s="13">
        <v>85</v>
      </c>
      <c r="E9" s="13">
        <v>93</v>
      </c>
      <c r="F9" s="14">
        <v>219</v>
      </c>
      <c r="G9" s="14">
        <v>73</v>
      </c>
    </row>
    <row r="10" spans="1:10" x14ac:dyDescent="0.25">
      <c r="A10" s="12">
        <v>9</v>
      </c>
      <c r="B10" s="12" t="s">
        <v>113</v>
      </c>
      <c r="C10" s="13">
        <v>42</v>
      </c>
      <c r="D10" s="13">
        <v>62</v>
      </c>
      <c r="E10" s="13">
        <v>82</v>
      </c>
      <c r="F10" s="14">
        <v>186</v>
      </c>
      <c r="G10" s="14">
        <v>62</v>
      </c>
    </row>
    <row r="11" spans="1:10" x14ac:dyDescent="0.25">
      <c r="A11" s="12">
        <v>10</v>
      </c>
      <c r="B11" s="12" t="s">
        <v>91</v>
      </c>
      <c r="C11" s="13">
        <v>55</v>
      </c>
      <c r="D11" s="13">
        <v>55</v>
      </c>
      <c r="E11" s="13">
        <v>61</v>
      </c>
      <c r="F11" s="14">
        <v>171</v>
      </c>
      <c r="G11" s="14">
        <v>57</v>
      </c>
    </row>
    <row r="12" spans="1:10" x14ac:dyDescent="0.25">
      <c r="A12" s="12">
        <v>11</v>
      </c>
      <c r="B12" s="12" t="s">
        <v>114</v>
      </c>
      <c r="C12" s="13">
        <v>80</v>
      </c>
      <c r="D12" s="13">
        <v>60</v>
      </c>
      <c r="E12" s="13">
        <v>92</v>
      </c>
      <c r="F12" s="14">
        <v>232</v>
      </c>
      <c r="G12" s="14">
        <v>77.333333333333329</v>
      </c>
    </row>
    <row r="13" spans="1:10" x14ac:dyDescent="0.25">
      <c r="A13" s="12">
        <v>12</v>
      </c>
      <c r="B13" s="12" t="s">
        <v>93</v>
      </c>
      <c r="C13" s="13">
        <v>42</v>
      </c>
      <c r="D13" s="13">
        <v>51</v>
      </c>
      <c r="E13" s="13">
        <v>63</v>
      </c>
      <c r="F13" s="14">
        <v>156</v>
      </c>
      <c r="G13" s="14">
        <v>52</v>
      </c>
    </row>
    <row r="14" spans="1:10" x14ac:dyDescent="0.25">
      <c r="A14" s="12">
        <v>13</v>
      </c>
      <c r="B14" s="12" t="s">
        <v>115</v>
      </c>
      <c r="C14" s="13">
        <v>94</v>
      </c>
      <c r="D14" s="13">
        <v>81</v>
      </c>
      <c r="E14" s="13">
        <v>68</v>
      </c>
      <c r="F14" s="14">
        <v>243</v>
      </c>
      <c r="G14" s="14">
        <v>81</v>
      </c>
    </row>
    <row r="15" spans="1:10" x14ac:dyDescent="0.25">
      <c r="A15" s="12">
        <v>14</v>
      </c>
      <c r="B15" s="12" t="s">
        <v>116</v>
      </c>
      <c r="C15" s="13">
        <v>64</v>
      </c>
      <c r="D15" s="13">
        <v>51</v>
      </c>
      <c r="E15" s="13">
        <v>78</v>
      </c>
      <c r="F15" s="14">
        <v>193</v>
      </c>
      <c r="G15" s="14">
        <v>64.333333333333329</v>
      </c>
      <c r="J15" s="16"/>
    </row>
    <row r="16" spans="1:10" x14ac:dyDescent="0.25">
      <c r="A16" s="12">
        <v>15</v>
      </c>
      <c r="B16" s="12" t="s">
        <v>117</v>
      </c>
      <c r="C16" s="13">
        <v>67</v>
      </c>
      <c r="D16" s="13">
        <v>52</v>
      </c>
      <c r="E16" s="13">
        <v>79</v>
      </c>
      <c r="F16" s="14">
        <v>198</v>
      </c>
      <c r="G16" s="14">
        <v>66</v>
      </c>
    </row>
    <row r="17" spans="1:7" x14ac:dyDescent="0.25">
      <c r="A17" s="12">
        <v>16</v>
      </c>
      <c r="B17" s="12" t="s">
        <v>118</v>
      </c>
      <c r="C17" s="13">
        <v>84</v>
      </c>
      <c r="D17" s="13">
        <v>75</v>
      </c>
      <c r="E17" s="13">
        <v>68</v>
      </c>
      <c r="F17" s="14">
        <v>227</v>
      </c>
      <c r="G17" s="14">
        <v>75.666666666666671</v>
      </c>
    </row>
    <row r="18" spans="1:7" x14ac:dyDescent="0.25">
      <c r="A18" s="12">
        <v>17</v>
      </c>
      <c r="B18" s="12" t="s">
        <v>34</v>
      </c>
      <c r="C18" s="13">
        <v>64</v>
      </c>
      <c r="D18" s="13">
        <v>57</v>
      </c>
      <c r="E18" s="13">
        <v>91</v>
      </c>
      <c r="F18" s="14">
        <v>212</v>
      </c>
      <c r="G18" s="14">
        <v>70.666666666666671</v>
      </c>
    </row>
    <row r="19" spans="1:7" x14ac:dyDescent="0.25">
      <c r="A19" s="12">
        <v>18</v>
      </c>
      <c r="B19" s="12" t="s">
        <v>119</v>
      </c>
      <c r="C19" s="13">
        <v>51</v>
      </c>
      <c r="D19" s="13">
        <v>40</v>
      </c>
      <c r="E19" s="13">
        <v>67</v>
      </c>
      <c r="F19" s="14">
        <v>158</v>
      </c>
      <c r="G19" s="14">
        <v>52.666666666666664</v>
      </c>
    </row>
    <row r="20" spans="1:7" x14ac:dyDescent="0.25">
      <c r="A20" s="12">
        <v>19</v>
      </c>
      <c r="B20" s="12" t="s">
        <v>120</v>
      </c>
      <c r="C20" s="13">
        <v>39</v>
      </c>
      <c r="D20" s="13">
        <v>53</v>
      </c>
      <c r="E20" s="13">
        <v>71</v>
      </c>
      <c r="F20" s="14">
        <v>163</v>
      </c>
      <c r="G20" s="14">
        <v>54.333333333333336</v>
      </c>
    </row>
    <row r="21" spans="1:7" x14ac:dyDescent="0.25">
      <c r="A21" s="12">
        <v>20</v>
      </c>
      <c r="B21" s="12" t="s">
        <v>121</v>
      </c>
      <c r="C21" s="13">
        <v>81</v>
      </c>
      <c r="D21" s="13">
        <v>61</v>
      </c>
      <c r="E21" s="13">
        <v>87</v>
      </c>
      <c r="F21" s="14">
        <v>229</v>
      </c>
      <c r="G21" s="14">
        <v>76.333333333333329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EC6E6-3DC9-4015-8952-521CAD5D688A}">
  <dimension ref="A2:K22"/>
  <sheetViews>
    <sheetView workbookViewId="0">
      <selection activeCell="I28" sqref="I28"/>
    </sheetView>
  </sheetViews>
  <sheetFormatPr defaultRowHeight="15" x14ac:dyDescent="0.25"/>
  <cols>
    <col min="1" max="1" width="10.140625" bestFit="1" customWidth="1"/>
    <col min="2" max="2" width="10.85546875" bestFit="1" customWidth="1"/>
    <col min="3" max="3" width="11.5703125" bestFit="1" customWidth="1"/>
    <col min="4" max="4" width="10" bestFit="1" customWidth="1"/>
    <col min="5" max="5" width="12.85546875" bestFit="1" customWidth="1"/>
    <col min="9" max="10" width="10.42578125" bestFit="1" customWidth="1"/>
  </cols>
  <sheetData>
    <row r="2" spans="1:11" x14ac:dyDescent="0.25">
      <c r="A2" s="19" t="s">
        <v>124</v>
      </c>
      <c r="B2" s="19" t="s">
        <v>125</v>
      </c>
      <c r="C2" s="19" t="s">
        <v>126</v>
      </c>
      <c r="D2" s="19" t="s">
        <v>149</v>
      </c>
      <c r="E2" s="19" t="s">
        <v>148</v>
      </c>
      <c r="F2" s="23" t="s">
        <v>150</v>
      </c>
      <c r="G2" s="23" t="s">
        <v>151</v>
      </c>
    </row>
    <row r="3" spans="1:11" x14ac:dyDescent="0.25">
      <c r="A3" s="19" t="s">
        <v>127</v>
      </c>
      <c r="B3" s="20">
        <v>45292</v>
      </c>
      <c r="C3" s="21">
        <v>39701</v>
      </c>
      <c r="D3" s="21">
        <f>SUM(C3:C22)</f>
        <v>880607</v>
      </c>
      <c r="E3" s="21">
        <f>AVERAGE(C3:C22)</f>
        <v>44030.35</v>
      </c>
      <c r="F3" s="18">
        <f>MAX(C3:C22)</f>
        <v>78041</v>
      </c>
      <c r="G3" s="18">
        <f>MIN(C3:C22)</f>
        <v>12135</v>
      </c>
    </row>
    <row r="4" spans="1:11" x14ac:dyDescent="0.25">
      <c r="A4" s="19" t="s">
        <v>128</v>
      </c>
      <c r="B4" s="19" t="s">
        <v>147</v>
      </c>
      <c r="C4" s="21">
        <v>65025</v>
      </c>
      <c r="D4" s="19"/>
      <c r="E4" s="19"/>
      <c r="I4" s="15"/>
      <c r="J4" s="15"/>
    </row>
    <row r="5" spans="1:11" x14ac:dyDescent="0.25">
      <c r="A5" s="19" t="s">
        <v>129</v>
      </c>
      <c r="B5" s="20">
        <v>45935</v>
      </c>
      <c r="C5" s="21">
        <v>26906</v>
      </c>
      <c r="D5" s="19"/>
      <c r="E5" s="19"/>
    </row>
    <row r="6" spans="1:11" x14ac:dyDescent="0.25">
      <c r="A6" s="19" t="s">
        <v>130</v>
      </c>
      <c r="B6" s="20">
        <v>45757</v>
      </c>
      <c r="C6" s="21">
        <v>59133</v>
      </c>
      <c r="D6" s="19"/>
      <c r="E6" s="19"/>
    </row>
    <row r="7" spans="1:11" x14ac:dyDescent="0.25">
      <c r="A7" s="19" t="s">
        <v>131</v>
      </c>
      <c r="B7" s="20">
        <v>45993</v>
      </c>
      <c r="C7" s="21">
        <v>78041</v>
      </c>
      <c r="D7" s="19"/>
      <c r="E7" s="19"/>
      <c r="J7" s="22"/>
      <c r="K7" s="22"/>
    </row>
    <row r="8" spans="1:11" x14ac:dyDescent="0.25">
      <c r="A8" s="19" t="s">
        <v>132</v>
      </c>
      <c r="B8" s="20">
        <v>45630</v>
      </c>
      <c r="C8" s="21">
        <v>65310</v>
      </c>
      <c r="D8" s="19"/>
      <c r="E8" s="19"/>
      <c r="J8" s="22"/>
      <c r="K8" s="22"/>
    </row>
    <row r="9" spans="1:11" x14ac:dyDescent="0.25">
      <c r="A9" s="19" t="s">
        <v>133</v>
      </c>
      <c r="B9" s="20">
        <v>46110</v>
      </c>
      <c r="C9" s="21">
        <v>72016</v>
      </c>
      <c r="D9" s="19"/>
      <c r="E9" s="19"/>
    </row>
    <row r="10" spans="1:11" x14ac:dyDescent="0.25">
      <c r="A10" s="19" t="s">
        <v>134</v>
      </c>
      <c r="B10" s="20">
        <v>45619</v>
      </c>
      <c r="C10" s="21">
        <v>38125</v>
      </c>
      <c r="D10" s="19"/>
      <c r="E10" s="19"/>
    </row>
    <row r="11" spans="1:11" x14ac:dyDescent="0.25">
      <c r="A11" s="19" t="s">
        <v>135</v>
      </c>
      <c r="B11" s="20">
        <v>46168</v>
      </c>
      <c r="C11" s="21">
        <v>31046</v>
      </c>
      <c r="D11" s="19"/>
      <c r="E11" s="19"/>
    </row>
    <row r="12" spans="1:11" x14ac:dyDescent="0.25">
      <c r="A12" s="19" t="s">
        <v>136</v>
      </c>
      <c r="B12" s="20">
        <v>45629</v>
      </c>
      <c r="C12" s="21">
        <v>16290</v>
      </c>
      <c r="D12" s="19"/>
      <c r="E12" s="19"/>
    </row>
    <row r="13" spans="1:11" x14ac:dyDescent="0.25">
      <c r="A13" s="19" t="s">
        <v>137</v>
      </c>
      <c r="B13" s="20">
        <v>45813</v>
      </c>
      <c r="C13" s="21">
        <v>32125</v>
      </c>
      <c r="D13" s="19"/>
      <c r="E13" s="19"/>
    </row>
    <row r="14" spans="1:11" x14ac:dyDescent="0.25">
      <c r="A14" s="19" t="s">
        <v>138</v>
      </c>
      <c r="B14" s="20">
        <v>46111</v>
      </c>
      <c r="C14" s="21">
        <v>41681</v>
      </c>
      <c r="D14" s="19"/>
      <c r="E14" s="19"/>
    </row>
    <row r="15" spans="1:11" x14ac:dyDescent="0.25">
      <c r="A15" s="19" t="s">
        <v>139</v>
      </c>
      <c r="B15" s="20">
        <v>45395</v>
      </c>
      <c r="C15" s="21">
        <v>12135</v>
      </c>
      <c r="D15" s="19"/>
      <c r="E15" s="19"/>
    </row>
    <row r="16" spans="1:11" x14ac:dyDescent="0.25">
      <c r="A16" s="19" t="s">
        <v>140</v>
      </c>
      <c r="B16" s="20">
        <v>45891</v>
      </c>
      <c r="C16" s="21">
        <v>67389</v>
      </c>
      <c r="D16" s="19"/>
      <c r="E16" s="19"/>
    </row>
    <row r="17" spans="1:5" x14ac:dyDescent="0.25">
      <c r="A17" s="19" t="s">
        <v>141</v>
      </c>
      <c r="B17" s="20">
        <v>45484</v>
      </c>
      <c r="C17" s="21">
        <v>26915</v>
      </c>
      <c r="D17" s="19"/>
      <c r="E17" s="19"/>
    </row>
    <row r="18" spans="1:5" x14ac:dyDescent="0.25">
      <c r="A18" s="19" t="s">
        <v>142</v>
      </c>
      <c r="B18" s="20">
        <v>45485</v>
      </c>
      <c r="C18" s="21">
        <v>60816</v>
      </c>
      <c r="D18" s="19"/>
      <c r="E18" s="19"/>
    </row>
    <row r="19" spans="1:5" x14ac:dyDescent="0.25">
      <c r="A19" s="19" t="s">
        <v>143</v>
      </c>
      <c r="B19" s="20">
        <v>45449</v>
      </c>
      <c r="C19" s="21">
        <v>39180</v>
      </c>
      <c r="D19" s="19"/>
      <c r="E19" s="19"/>
    </row>
    <row r="20" spans="1:5" x14ac:dyDescent="0.25">
      <c r="A20" s="19" t="s">
        <v>144</v>
      </c>
      <c r="B20" s="20">
        <v>46285</v>
      </c>
      <c r="C20" s="21">
        <v>73341</v>
      </c>
      <c r="D20" s="19"/>
      <c r="E20" s="19"/>
    </row>
    <row r="21" spans="1:5" x14ac:dyDescent="0.25">
      <c r="A21" s="19" t="s">
        <v>145</v>
      </c>
      <c r="B21" s="20">
        <v>45870</v>
      </c>
      <c r="C21" s="21">
        <v>15001</v>
      </c>
      <c r="D21" s="19"/>
      <c r="E21" s="19"/>
    </row>
    <row r="22" spans="1:5" x14ac:dyDescent="0.25">
      <c r="A22" s="19" t="s">
        <v>146</v>
      </c>
      <c r="B22" s="20">
        <v>45870</v>
      </c>
      <c r="C22" s="21">
        <v>20431</v>
      </c>
      <c r="D22" s="19"/>
      <c r="E22" s="19"/>
    </row>
  </sheetData>
  <phoneticPr fontId="1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08106-A42A-4FAE-A50C-C61939BAD807}">
  <dimension ref="A3:G22"/>
  <sheetViews>
    <sheetView workbookViewId="0">
      <selection activeCell="A4" sqref="A4:A22"/>
    </sheetView>
  </sheetViews>
  <sheetFormatPr defaultRowHeight="15" x14ac:dyDescent="0.25"/>
  <cols>
    <col min="1" max="1" width="15.5703125" bestFit="1" customWidth="1"/>
    <col min="2" max="2" width="11.5703125" bestFit="1" customWidth="1"/>
    <col min="3" max="3" width="6.140625" bestFit="1" customWidth="1"/>
    <col min="4" max="4" width="11.5703125" bestFit="1" customWidth="1"/>
    <col min="5" max="5" width="10.7109375" bestFit="1" customWidth="1"/>
    <col min="6" max="6" width="13.7109375" bestFit="1" customWidth="1"/>
    <col min="7" max="7" width="15.5703125" bestFit="1" customWidth="1"/>
  </cols>
  <sheetData>
    <row r="3" spans="1:7" x14ac:dyDescent="0.25">
      <c r="A3" s="17" t="s">
        <v>152</v>
      </c>
      <c r="B3" s="17" t="s">
        <v>2</v>
      </c>
      <c r="C3" s="17" t="s">
        <v>3</v>
      </c>
      <c r="D3" s="17" t="s">
        <v>2</v>
      </c>
      <c r="E3" s="17" t="s">
        <v>165</v>
      </c>
      <c r="F3" s="17" t="s">
        <v>163</v>
      </c>
      <c r="G3" s="17" t="s">
        <v>164</v>
      </c>
    </row>
    <row r="4" spans="1:7" x14ac:dyDescent="0.25">
      <c r="A4" s="17" t="s">
        <v>153</v>
      </c>
      <c r="B4" s="17" t="s">
        <v>15</v>
      </c>
      <c r="C4" s="17">
        <v>84371</v>
      </c>
      <c r="D4" s="17" t="s">
        <v>15</v>
      </c>
      <c r="E4" s="17">
        <f>SUM(C4,C6,C10,C11,C16,C21,C22,)</f>
        <v>504831</v>
      </c>
      <c r="F4" s="17">
        <f>AVERAGE(C4:C22)</f>
        <v>66258.631578947374</v>
      </c>
      <c r="G4" s="17">
        <f>COUNTA(B4:B22)</f>
        <v>19</v>
      </c>
    </row>
    <row r="5" spans="1:7" x14ac:dyDescent="0.25">
      <c r="A5" s="17" t="s">
        <v>112</v>
      </c>
      <c r="B5" s="17" t="s">
        <v>16</v>
      </c>
      <c r="C5" s="17">
        <v>56148</v>
      </c>
      <c r="D5" s="17" t="s">
        <v>16</v>
      </c>
      <c r="E5" s="17">
        <f>SUM(C5,C7,C13,C14,C17,C20,)</f>
        <v>351364</v>
      </c>
      <c r="F5" s="17"/>
      <c r="G5" s="17"/>
    </row>
    <row r="6" spans="1:7" x14ac:dyDescent="0.25">
      <c r="A6" s="17" t="s">
        <v>154</v>
      </c>
      <c r="B6" s="17" t="s">
        <v>15</v>
      </c>
      <c r="C6" s="17">
        <v>93905</v>
      </c>
      <c r="D6" s="17" t="s">
        <v>162</v>
      </c>
      <c r="E6" s="17">
        <f>SUM(C8,C9,C12,C15,C18,C19)</f>
        <v>402719</v>
      </c>
      <c r="F6" s="17"/>
      <c r="G6" s="17"/>
    </row>
    <row r="7" spans="1:7" x14ac:dyDescent="0.25">
      <c r="A7" s="17" t="s">
        <v>155</v>
      </c>
      <c r="B7" s="17" t="s">
        <v>16</v>
      </c>
      <c r="C7" s="17">
        <v>59229</v>
      </c>
      <c r="D7" s="17"/>
      <c r="E7" s="17"/>
      <c r="F7" s="17"/>
      <c r="G7" s="17"/>
    </row>
    <row r="8" spans="1:7" x14ac:dyDescent="0.25">
      <c r="A8" s="17" t="s">
        <v>87</v>
      </c>
      <c r="B8" s="17" t="s">
        <v>162</v>
      </c>
      <c r="C8" s="17">
        <v>67043</v>
      </c>
      <c r="D8" s="17"/>
      <c r="E8" s="17"/>
      <c r="F8" s="17"/>
      <c r="G8" s="17"/>
    </row>
    <row r="9" spans="1:7" x14ac:dyDescent="0.25">
      <c r="A9" s="17" t="s">
        <v>156</v>
      </c>
      <c r="B9" s="17" t="s">
        <v>162</v>
      </c>
      <c r="C9" s="17">
        <v>95129</v>
      </c>
      <c r="D9" s="17"/>
      <c r="E9" s="17"/>
      <c r="F9" s="17"/>
      <c r="G9" s="17"/>
    </row>
    <row r="10" spans="1:7" x14ac:dyDescent="0.25">
      <c r="A10" s="17" t="s">
        <v>86</v>
      </c>
      <c r="B10" s="17" t="s">
        <v>15</v>
      </c>
      <c r="C10" s="17">
        <v>86124</v>
      </c>
      <c r="D10" s="17"/>
      <c r="E10" s="17"/>
      <c r="F10" s="17"/>
      <c r="G10" s="17"/>
    </row>
    <row r="11" spans="1:7" x14ac:dyDescent="0.25">
      <c r="A11" s="17" t="s">
        <v>90</v>
      </c>
      <c r="B11" s="17" t="s">
        <v>15</v>
      </c>
      <c r="C11" s="17">
        <v>47595</v>
      </c>
      <c r="D11" s="17"/>
      <c r="E11" s="17"/>
      <c r="F11" s="17"/>
      <c r="G11" s="17"/>
    </row>
    <row r="12" spans="1:7" x14ac:dyDescent="0.25">
      <c r="A12" s="17" t="s">
        <v>90</v>
      </c>
      <c r="B12" s="17" t="s">
        <v>162</v>
      </c>
      <c r="C12" s="17">
        <v>45995</v>
      </c>
      <c r="D12" s="17"/>
      <c r="E12" s="17"/>
      <c r="F12" s="17"/>
      <c r="G12" s="17"/>
    </row>
    <row r="13" spans="1:7" x14ac:dyDescent="0.25">
      <c r="A13" s="17" t="s">
        <v>99</v>
      </c>
      <c r="B13" s="17" t="s">
        <v>16</v>
      </c>
      <c r="C13" s="17">
        <v>32003</v>
      </c>
      <c r="D13" s="17"/>
      <c r="E13" s="17"/>
      <c r="F13" s="17"/>
      <c r="G13" s="17"/>
    </row>
    <row r="14" spans="1:7" x14ac:dyDescent="0.25">
      <c r="A14" s="17" t="s">
        <v>157</v>
      </c>
      <c r="B14" s="17" t="s">
        <v>16</v>
      </c>
      <c r="C14" s="17">
        <v>50383</v>
      </c>
      <c r="D14" s="17"/>
      <c r="E14" s="17"/>
      <c r="F14" s="17"/>
      <c r="G14" s="17"/>
    </row>
    <row r="15" spans="1:7" x14ac:dyDescent="0.25">
      <c r="A15" s="17" t="s">
        <v>158</v>
      </c>
      <c r="B15" s="17" t="s">
        <v>162</v>
      </c>
      <c r="C15" s="17">
        <v>53547</v>
      </c>
      <c r="D15" s="17"/>
      <c r="E15" s="17"/>
      <c r="F15" s="17"/>
      <c r="G15" s="17"/>
    </row>
    <row r="16" spans="1:7" x14ac:dyDescent="0.25">
      <c r="A16" s="17" t="s">
        <v>159</v>
      </c>
      <c r="B16" s="17" t="s">
        <v>15</v>
      </c>
      <c r="C16" s="17">
        <v>69084</v>
      </c>
      <c r="D16" s="17"/>
      <c r="E16" s="17"/>
      <c r="F16" s="17"/>
      <c r="G16" s="17"/>
    </row>
    <row r="17" spans="1:7" x14ac:dyDescent="0.25">
      <c r="A17" s="17" t="s">
        <v>160</v>
      </c>
      <c r="B17" s="17" t="s">
        <v>16</v>
      </c>
      <c r="C17" s="17">
        <v>90723</v>
      </c>
      <c r="D17" s="17"/>
      <c r="E17" s="17"/>
      <c r="F17" s="17"/>
      <c r="G17" s="17"/>
    </row>
    <row r="18" spans="1:7" x14ac:dyDescent="0.25">
      <c r="A18" s="17" t="s">
        <v>98</v>
      </c>
      <c r="B18" s="17" t="s">
        <v>162</v>
      </c>
      <c r="C18" s="17">
        <v>52475</v>
      </c>
      <c r="D18" s="17"/>
      <c r="E18" s="17"/>
      <c r="F18" s="17"/>
      <c r="G18" s="17"/>
    </row>
    <row r="19" spans="1:7" x14ac:dyDescent="0.25">
      <c r="A19" s="17" t="s">
        <v>109</v>
      </c>
      <c r="B19" s="17" t="s">
        <v>162</v>
      </c>
      <c r="C19" s="17">
        <v>88530</v>
      </c>
      <c r="D19" s="17"/>
      <c r="E19" s="17"/>
      <c r="F19" s="17"/>
      <c r="G19" s="17"/>
    </row>
    <row r="20" spans="1:7" x14ac:dyDescent="0.25">
      <c r="A20" s="17" t="s">
        <v>116</v>
      </c>
      <c r="B20" s="17" t="s">
        <v>16</v>
      </c>
      <c r="C20" s="17">
        <v>62878</v>
      </c>
      <c r="D20" s="17"/>
      <c r="E20" s="17"/>
      <c r="F20" s="17"/>
      <c r="G20" s="17"/>
    </row>
    <row r="21" spans="1:7" x14ac:dyDescent="0.25">
      <c r="A21" s="17" t="s">
        <v>161</v>
      </c>
      <c r="B21" s="17" t="s">
        <v>15</v>
      </c>
      <c r="C21" s="17">
        <v>31013</v>
      </c>
      <c r="D21" s="17"/>
      <c r="E21" s="17"/>
      <c r="F21" s="17"/>
      <c r="G21" s="17"/>
    </row>
    <row r="22" spans="1:7" x14ac:dyDescent="0.25">
      <c r="A22" s="17" t="s">
        <v>94</v>
      </c>
      <c r="B22" s="17" t="s">
        <v>15</v>
      </c>
      <c r="C22" s="17">
        <v>92739</v>
      </c>
      <c r="D22" s="17"/>
      <c r="E22" s="17"/>
      <c r="F22" s="17"/>
      <c r="G22" s="1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B9EED-815E-48BE-8EA1-913CBD661177}">
  <dimension ref="B3:I18"/>
  <sheetViews>
    <sheetView workbookViewId="0">
      <selection activeCell="B4" sqref="B4:B18"/>
    </sheetView>
  </sheetViews>
  <sheetFormatPr defaultRowHeight="15" x14ac:dyDescent="0.25"/>
  <cols>
    <col min="2" max="2" width="15" bestFit="1" customWidth="1"/>
    <col min="3" max="7" width="5.5703125" bestFit="1" customWidth="1"/>
    <col min="8" max="8" width="8.7109375" bestFit="1" customWidth="1"/>
    <col min="9" max="9" width="7.85546875" bestFit="1" customWidth="1"/>
  </cols>
  <sheetData>
    <row r="3" spans="2:9" x14ac:dyDescent="0.25">
      <c r="B3" s="17" t="s">
        <v>166</v>
      </c>
      <c r="C3" s="17" t="s">
        <v>167</v>
      </c>
      <c r="D3" s="17" t="s">
        <v>168</v>
      </c>
      <c r="E3" s="17" t="s">
        <v>169</v>
      </c>
      <c r="F3" s="17" t="s">
        <v>170</v>
      </c>
      <c r="G3" s="17" t="s">
        <v>171</v>
      </c>
      <c r="H3" s="17" t="s">
        <v>189</v>
      </c>
      <c r="I3" s="17" t="s">
        <v>190</v>
      </c>
    </row>
    <row r="4" spans="2:9" x14ac:dyDescent="0.25">
      <c r="B4" s="17" t="s">
        <v>172</v>
      </c>
      <c r="C4" s="17" t="s">
        <v>187</v>
      </c>
      <c r="D4" s="17" t="s">
        <v>187</v>
      </c>
      <c r="E4" s="17" t="s">
        <v>188</v>
      </c>
      <c r="F4" s="17" t="s">
        <v>188</v>
      </c>
      <c r="G4" s="17" t="s">
        <v>187</v>
      </c>
      <c r="H4" s="17">
        <f>COUNTIF(C4:G4,"P")</f>
        <v>3</v>
      </c>
      <c r="I4" s="17">
        <f>COUNTIF(C4:G4,"A")</f>
        <v>2</v>
      </c>
    </row>
    <row r="5" spans="2:9" x14ac:dyDescent="0.25">
      <c r="B5" s="17" t="s">
        <v>173</v>
      </c>
      <c r="C5" s="17" t="s">
        <v>188</v>
      </c>
      <c r="D5" s="17" t="s">
        <v>187</v>
      </c>
      <c r="E5" s="17" t="s">
        <v>187</v>
      </c>
      <c r="F5" s="17" t="s">
        <v>187</v>
      </c>
      <c r="G5" s="17" t="s">
        <v>188</v>
      </c>
      <c r="H5" s="17">
        <f t="shared" ref="H5:H18" si="0">COUNTIF(C5:G5,"P")</f>
        <v>3</v>
      </c>
      <c r="I5" s="17">
        <f t="shared" ref="I5:I18" si="1">COUNTIF(C5:G5,"A")</f>
        <v>2</v>
      </c>
    </row>
    <row r="6" spans="2:9" x14ac:dyDescent="0.25">
      <c r="B6" s="17" t="s">
        <v>174</v>
      </c>
      <c r="C6" s="17" t="s">
        <v>187</v>
      </c>
      <c r="D6" s="17" t="s">
        <v>187</v>
      </c>
      <c r="E6" s="17" t="s">
        <v>187</v>
      </c>
      <c r="F6" s="17" t="s">
        <v>187</v>
      </c>
      <c r="G6" s="17" t="s">
        <v>187</v>
      </c>
      <c r="H6" s="17">
        <f t="shared" si="0"/>
        <v>5</v>
      </c>
      <c r="I6" s="17">
        <f t="shared" si="1"/>
        <v>0</v>
      </c>
    </row>
    <row r="7" spans="2:9" x14ac:dyDescent="0.25">
      <c r="B7" s="17" t="s">
        <v>175</v>
      </c>
      <c r="C7" s="17" t="s">
        <v>187</v>
      </c>
      <c r="D7" s="17" t="s">
        <v>187</v>
      </c>
      <c r="E7" s="17" t="s">
        <v>187</v>
      </c>
      <c r="F7" s="17" t="s">
        <v>187</v>
      </c>
      <c r="G7" s="17" t="s">
        <v>187</v>
      </c>
      <c r="H7" s="17">
        <f t="shared" si="0"/>
        <v>5</v>
      </c>
      <c r="I7" s="17">
        <f t="shared" si="1"/>
        <v>0</v>
      </c>
    </row>
    <row r="8" spans="2:9" x14ac:dyDescent="0.25">
      <c r="B8" s="17" t="s">
        <v>176</v>
      </c>
      <c r="C8" s="17" t="s">
        <v>187</v>
      </c>
      <c r="D8" s="17" t="s">
        <v>187</v>
      </c>
      <c r="E8" s="17" t="s">
        <v>187</v>
      </c>
      <c r="F8" s="17" t="s">
        <v>187</v>
      </c>
      <c r="G8" s="17" t="s">
        <v>187</v>
      </c>
      <c r="H8" s="17">
        <f t="shared" si="0"/>
        <v>5</v>
      </c>
      <c r="I8" s="17">
        <f t="shared" si="1"/>
        <v>0</v>
      </c>
    </row>
    <row r="9" spans="2:9" x14ac:dyDescent="0.25">
      <c r="B9" s="17" t="s">
        <v>177</v>
      </c>
      <c r="C9" s="17" t="s">
        <v>187</v>
      </c>
      <c r="D9" s="17" t="s">
        <v>187</v>
      </c>
      <c r="E9" s="17" t="s">
        <v>187</v>
      </c>
      <c r="F9" s="17" t="s">
        <v>187</v>
      </c>
      <c r="G9" s="17" t="s">
        <v>187</v>
      </c>
      <c r="H9" s="17">
        <f t="shared" si="0"/>
        <v>5</v>
      </c>
      <c r="I9" s="17">
        <f t="shared" si="1"/>
        <v>0</v>
      </c>
    </row>
    <row r="10" spans="2:9" x14ac:dyDescent="0.25">
      <c r="B10" s="17" t="s">
        <v>178</v>
      </c>
      <c r="C10" s="17" t="s">
        <v>187</v>
      </c>
      <c r="D10" s="17" t="s">
        <v>187</v>
      </c>
      <c r="E10" s="17" t="s">
        <v>187</v>
      </c>
      <c r="F10" s="17" t="s">
        <v>187</v>
      </c>
      <c r="G10" s="17" t="s">
        <v>187</v>
      </c>
      <c r="H10" s="17">
        <f t="shared" si="0"/>
        <v>5</v>
      </c>
      <c r="I10" s="17">
        <f t="shared" si="1"/>
        <v>0</v>
      </c>
    </row>
    <row r="11" spans="2:9" x14ac:dyDescent="0.25">
      <c r="B11" s="17" t="s">
        <v>179</v>
      </c>
      <c r="C11" s="17" t="s">
        <v>187</v>
      </c>
      <c r="D11" s="17" t="s">
        <v>187</v>
      </c>
      <c r="E11" s="17" t="s">
        <v>187</v>
      </c>
      <c r="F11" s="17" t="s">
        <v>187</v>
      </c>
      <c r="G11" s="17" t="s">
        <v>187</v>
      </c>
      <c r="H11" s="17">
        <f t="shared" si="0"/>
        <v>5</v>
      </c>
      <c r="I11" s="17">
        <f t="shared" si="1"/>
        <v>0</v>
      </c>
    </row>
    <row r="12" spans="2:9" x14ac:dyDescent="0.25">
      <c r="B12" s="17" t="s">
        <v>180</v>
      </c>
      <c r="C12" s="17" t="s">
        <v>187</v>
      </c>
      <c r="D12" s="17" t="s">
        <v>187</v>
      </c>
      <c r="E12" s="17" t="s">
        <v>187</v>
      </c>
      <c r="F12" s="17" t="s">
        <v>187</v>
      </c>
      <c r="G12" s="17" t="s">
        <v>187</v>
      </c>
      <c r="H12" s="17">
        <f t="shared" si="0"/>
        <v>5</v>
      </c>
      <c r="I12" s="17">
        <f t="shared" si="1"/>
        <v>0</v>
      </c>
    </row>
    <row r="13" spans="2:9" x14ac:dyDescent="0.25">
      <c r="B13" s="17" t="s">
        <v>181</v>
      </c>
      <c r="C13" s="17" t="s">
        <v>187</v>
      </c>
      <c r="D13" s="17" t="s">
        <v>187</v>
      </c>
      <c r="E13" s="17" t="s">
        <v>187</v>
      </c>
      <c r="F13" s="17" t="s">
        <v>187</v>
      </c>
      <c r="G13" s="17" t="s">
        <v>187</v>
      </c>
      <c r="H13" s="17">
        <f t="shared" si="0"/>
        <v>5</v>
      </c>
      <c r="I13" s="17">
        <f t="shared" si="1"/>
        <v>0</v>
      </c>
    </row>
    <row r="14" spans="2:9" x14ac:dyDescent="0.25">
      <c r="B14" s="17" t="s">
        <v>182</v>
      </c>
      <c r="C14" s="17" t="s">
        <v>187</v>
      </c>
      <c r="D14" s="17" t="s">
        <v>188</v>
      </c>
      <c r="E14" s="17" t="s">
        <v>188</v>
      </c>
      <c r="F14" s="17" t="s">
        <v>188</v>
      </c>
      <c r="G14" s="17" t="s">
        <v>187</v>
      </c>
      <c r="H14" s="17">
        <f t="shared" si="0"/>
        <v>2</v>
      </c>
      <c r="I14" s="17">
        <f t="shared" si="1"/>
        <v>3</v>
      </c>
    </row>
    <row r="15" spans="2:9" x14ac:dyDescent="0.25">
      <c r="B15" s="17" t="s">
        <v>183</v>
      </c>
      <c r="C15" s="17" t="s">
        <v>187</v>
      </c>
      <c r="D15" s="17" t="s">
        <v>187</v>
      </c>
      <c r="E15" s="17" t="s">
        <v>188</v>
      </c>
      <c r="F15" s="17" t="s">
        <v>188</v>
      </c>
      <c r="G15" s="17" t="s">
        <v>188</v>
      </c>
      <c r="H15" s="17">
        <f t="shared" si="0"/>
        <v>2</v>
      </c>
      <c r="I15" s="17">
        <f t="shared" si="1"/>
        <v>3</v>
      </c>
    </row>
    <row r="16" spans="2:9" x14ac:dyDescent="0.25">
      <c r="B16" s="17" t="s">
        <v>184</v>
      </c>
      <c r="C16" s="17" t="s">
        <v>187</v>
      </c>
      <c r="D16" s="17" t="s">
        <v>187</v>
      </c>
      <c r="E16" s="17" t="s">
        <v>187</v>
      </c>
      <c r="F16" s="17" t="s">
        <v>188</v>
      </c>
      <c r="G16" s="17" t="s">
        <v>187</v>
      </c>
      <c r="H16" s="17">
        <f t="shared" si="0"/>
        <v>4</v>
      </c>
      <c r="I16" s="17">
        <f t="shared" si="1"/>
        <v>1</v>
      </c>
    </row>
    <row r="17" spans="2:9" x14ac:dyDescent="0.25">
      <c r="B17" s="17" t="s">
        <v>185</v>
      </c>
      <c r="C17" s="17" t="s">
        <v>187</v>
      </c>
      <c r="D17" s="17" t="s">
        <v>188</v>
      </c>
      <c r="E17" s="17" t="s">
        <v>188</v>
      </c>
      <c r="F17" s="17" t="s">
        <v>188</v>
      </c>
      <c r="G17" s="17" t="s">
        <v>187</v>
      </c>
      <c r="H17" s="17">
        <f t="shared" si="0"/>
        <v>2</v>
      </c>
      <c r="I17" s="17">
        <f t="shared" si="1"/>
        <v>3</v>
      </c>
    </row>
    <row r="18" spans="2:9" x14ac:dyDescent="0.25">
      <c r="B18" s="17" t="s">
        <v>186</v>
      </c>
      <c r="C18" s="17" t="s">
        <v>188</v>
      </c>
      <c r="D18" s="17" t="s">
        <v>188</v>
      </c>
      <c r="E18" s="17" t="s">
        <v>187</v>
      </c>
      <c r="F18" s="17" t="s">
        <v>188</v>
      </c>
      <c r="G18" s="17" t="s">
        <v>187</v>
      </c>
      <c r="H18" s="17">
        <f t="shared" si="0"/>
        <v>2</v>
      </c>
      <c r="I18" s="17">
        <f t="shared" si="1"/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3E24F-2242-47FC-A8A5-7C6E506E5DD7}">
  <dimension ref="B3:G23"/>
  <sheetViews>
    <sheetView workbookViewId="0">
      <selection activeCell="E8" sqref="E8:F9"/>
    </sheetView>
  </sheetViews>
  <sheetFormatPr defaultRowHeight="15" x14ac:dyDescent="0.25"/>
  <cols>
    <col min="2" max="2" width="9.28515625" bestFit="1" customWidth="1"/>
    <col min="3" max="3" width="14.85546875" bestFit="1" customWidth="1"/>
  </cols>
  <sheetData>
    <row r="3" spans="2:7" x14ac:dyDescent="0.25">
      <c r="B3" s="12" t="s">
        <v>191</v>
      </c>
      <c r="C3" s="12" t="s">
        <v>192</v>
      </c>
    </row>
    <row r="4" spans="2:7" x14ac:dyDescent="0.25">
      <c r="B4" s="12">
        <v>101</v>
      </c>
      <c r="C4" s="12">
        <v>11023</v>
      </c>
    </row>
    <row r="5" spans="2:7" x14ac:dyDescent="0.25">
      <c r="B5" s="12">
        <v>102</v>
      </c>
      <c r="C5" s="12">
        <v>25088</v>
      </c>
      <c r="E5" s="25" t="s">
        <v>193</v>
      </c>
      <c r="F5" s="25"/>
    </row>
    <row r="6" spans="2:7" x14ac:dyDescent="0.25">
      <c r="B6" s="12">
        <v>103</v>
      </c>
      <c r="C6" s="12">
        <v>9597</v>
      </c>
      <c r="E6" s="25"/>
      <c r="F6" s="25"/>
      <c r="G6">
        <f>COUNT(C4:C23,"&gt;10000")</f>
        <v>20</v>
      </c>
    </row>
    <row r="7" spans="2:7" x14ac:dyDescent="0.25">
      <c r="B7" s="12">
        <v>104</v>
      </c>
      <c r="C7" s="12">
        <v>26396</v>
      </c>
      <c r="E7" s="25"/>
      <c r="F7" s="25"/>
    </row>
    <row r="8" spans="2:7" x14ac:dyDescent="0.25">
      <c r="B8" s="12">
        <v>105</v>
      </c>
      <c r="C8" s="12">
        <v>18375</v>
      </c>
      <c r="E8" s="24" t="s">
        <v>194</v>
      </c>
      <c r="F8" s="24"/>
      <c r="G8">
        <f>COUNT(C4:C22,"&lt;5000")</f>
        <v>19</v>
      </c>
    </row>
    <row r="9" spans="2:7" x14ac:dyDescent="0.25">
      <c r="B9" s="12">
        <v>106</v>
      </c>
      <c r="C9" s="12">
        <v>9634</v>
      </c>
      <c r="E9" s="24"/>
      <c r="F9" s="24"/>
    </row>
    <row r="10" spans="2:7" x14ac:dyDescent="0.25">
      <c r="B10" s="12">
        <v>107</v>
      </c>
      <c r="C10" s="12">
        <v>10959</v>
      </c>
    </row>
    <row r="11" spans="2:7" x14ac:dyDescent="0.25">
      <c r="B11" s="12">
        <v>108</v>
      </c>
      <c r="C11" s="12">
        <v>21703</v>
      </c>
    </row>
    <row r="12" spans="2:7" x14ac:dyDescent="0.25">
      <c r="B12" s="12">
        <v>109</v>
      </c>
      <c r="C12" s="12">
        <v>29222</v>
      </c>
    </row>
    <row r="13" spans="2:7" x14ac:dyDescent="0.25">
      <c r="B13" s="12">
        <v>110</v>
      </c>
      <c r="C13" s="12">
        <v>26544</v>
      </c>
    </row>
    <row r="14" spans="2:7" x14ac:dyDescent="0.25">
      <c r="B14" s="12">
        <v>111</v>
      </c>
      <c r="C14" s="12">
        <v>21091</v>
      </c>
    </row>
    <row r="15" spans="2:7" x14ac:dyDescent="0.25">
      <c r="B15" s="12">
        <v>112</v>
      </c>
      <c r="C15" s="12">
        <v>5794</v>
      </c>
    </row>
    <row r="16" spans="2:7" x14ac:dyDescent="0.25">
      <c r="B16" s="12">
        <v>113</v>
      </c>
      <c r="C16" s="12">
        <v>14593</v>
      </c>
    </row>
    <row r="17" spans="2:3" x14ac:dyDescent="0.25">
      <c r="B17" s="12">
        <v>114</v>
      </c>
      <c r="C17" s="12">
        <v>23016</v>
      </c>
    </row>
    <row r="18" spans="2:3" x14ac:dyDescent="0.25">
      <c r="B18" s="12">
        <v>115</v>
      </c>
      <c r="C18" s="12">
        <v>21356</v>
      </c>
    </row>
    <row r="19" spans="2:3" x14ac:dyDescent="0.25">
      <c r="B19" s="12">
        <v>116</v>
      </c>
      <c r="C19" s="12">
        <v>18375</v>
      </c>
    </row>
    <row r="20" spans="2:3" x14ac:dyDescent="0.25">
      <c r="B20" s="12">
        <v>117</v>
      </c>
      <c r="C20" s="12">
        <v>20262</v>
      </c>
    </row>
    <row r="21" spans="2:3" x14ac:dyDescent="0.25">
      <c r="B21" s="12">
        <v>118</v>
      </c>
      <c r="C21" s="12">
        <v>19733</v>
      </c>
    </row>
    <row r="22" spans="2:3" x14ac:dyDescent="0.25">
      <c r="B22" s="12">
        <v>119</v>
      </c>
      <c r="C22" s="12">
        <v>20465</v>
      </c>
    </row>
    <row r="23" spans="2:3" x14ac:dyDescent="0.25">
      <c r="B23" s="12">
        <v>120</v>
      </c>
      <c r="C23" s="12">
        <v>20212</v>
      </c>
    </row>
  </sheetData>
  <mergeCells count="2">
    <mergeCell ref="E5:F7"/>
    <mergeCell ref="E8:F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82FA1-EA4C-460F-95FA-5BFE4CFCD1A1}">
  <dimension ref="B2:C18"/>
  <sheetViews>
    <sheetView workbookViewId="0">
      <selection activeCell="C3" sqref="C3:C18"/>
    </sheetView>
  </sheetViews>
  <sheetFormatPr defaultRowHeight="15" x14ac:dyDescent="0.25"/>
  <cols>
    <col min="2" max="2" width="9.85546875" bestFit="1" customWidth="1"/>
    <col min="3" max="3" width="15.28515625" bestFit="1" customWidth="1"/>
  </cols>
  <sheetData>
    <row r="2" spans="2:3" x14ac:dyDescent="0.25">
      <c r="B2" s="17" t="s">
        <v>195</v>
      </c>
      <c r="C2" s="17" t="s">
        <v>196</v>
      </c>
    </row>
    <row r="3" spans="2:3" x14ac:dyDescent="0.25">
      <c r="B3" s="17" t="s">
        <v>197</v>
      </c>
      <c r="C3" s="17">
        <v>10305</v>
      </c>
    </row>
    <row r="4" spans="2:3" x14ac:dyDescent="0.25">
      <c r="B4" s="17" t="s">
        <v>198</v>
      </c>
      <c r="C4" s="17">
        <v>17288</v>
      </c>
    </row>
    <row r="5" spans="2:3" x14ac:dyDescent="0.25">
      <c r="B5" s="17" t="s">
        <v>199</v>
      </c>
      <c r="C5" s="17">
        <v>18885</v>
      </c>
    </row>
    <row r="6" spans="2:3" x14ac:dyDescent="0.25">
      <c r="B6" s="17" t="s">
        <v>200</v>
      </c>
      <c r="C6" s="17">
        <v>23489</v>
      </c>
    </row>
    <row r="7" spans="2:3" x14ac:dyDescent="0.25">
      <c r="B7" s="17" t="s">
        <v>197</v>
      </c>
      <c r="C7" s="17">
        <v>6914</v>
      </c>
    </row>
    <row r="8" spans="2:3" x14ac:dyDescent="0.25">
      <c r="B8" s="17" t="s">
        <v>197</v>
      </c>
      <c r="C8" s="17">
        <v>7921</v>
      </c>
    </row>
    <row r="9" spans="2:3" x14ac:dyDescent="0.25">
      <c r="B9" s="17" t="s">
        <v>198</v>
      </c>
      <c r="C9" s="17">
        <v>10464</v>
      </c>
    </row>
    <row r="10" spans="2:3" x14ac:dyDescent="0.25">
      <c r="B10" s="17" t="s">
        <v>199</v>
      </c>
      <c r="C10" s="17">
        <v>22796</v>
      </c>
    </row>
    <row r="11" spans="2:3" x14ac:dyDescent="0.25">
      <c r="B11" s="17" t="s">
        <v>200</v>
      </c>
      <c r="C11" s="17">
        <v>8104</v>
      </c>
    </row>
    <row r="12" spans="2:3" x14ac:dyDescent="0.25">
      <c r="B12" s="17" t="s">
        <v>198</v>
      </c>
      <c r="C12" s="17">
        <v>23327</v>
      </c>
    </row>
    <row r="13" spans="2:3" x14ac:dyDescent="0.25">
      <c r="B13" s="17" t="s">
        <v>199</v>
      </c>
      <c r="C13" s="17">
        <v>22380</v>
      </c>
    </row>
    <row r="14" spans="2:3" x14ac:dyDescent="0.25">
      <c r="B14" s="17" t="s">
        <v>200</v>
      </c>
      <c r="C14" s="17">
        <v>9617</v>
      </c>
    </row>
    <row r="15" spans="2:3" x14ac:dyDescent="0.25">
      <c r="B15" s="17" t="s">
        <v>197</v>
      </c>
      <c r="C15" s="17">
        <v>22388</v>
      </c>
    </row>
    <row r="16" spans="2:3" x14ac:dyDescent="0.25">
      <c r="B16" s="17" t="s">
        <v>198</v>
      </c>
      <c r="C16" s="17">
        <v>9077</v>
      </c>
    </row>
    <row r="17" spans="2:3" x14ac:dyDescent="0.25">
      <c r="B17" s="17" t="s">
        <v>199</v>
      </c>
      <c r="C17" s="17">
        <v>27148</v>
      </c>
    </row>
    <row r="18" spans="2:3" x14ac:dyDescent="0.25">
      <c r="B18" s="17" t="s">
        <v>200</v>
      </c>
      <c r="C18" s="17">
        <v>21352</v>
      </c>
    </row>
  </sheetData>
  <conditionalFormatting sqref="C3:C18">
    <cfRule type="cellIs" dxfId="9" priority="3" operator="greaterThan">
      <formula>20000</formula>
    </cfRule>
    <cfRule type="cellIs" dxfId="10" priority="2" operator="greaterThan">
      <formula>20000</formula>
    </cfRule>
    <cfRule type="cellIs" dxfId="11" priority="1" operator="lessThan">
      <formula>5000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A5341-E7CA-4CE9-9247-2E8314B8125D}">
  <dimension ref="B3:D23"/>
  <sheetViews>
    <sheetView workbookViewId="0">
      <selection activeCell="E7" sqref="E7"/>
    </sheetView>
  </sheetViews>
  <sheetFormatPr defaultRowHeight="15" x14ac:dyDescent="0.25"/>
  <cols>
    <col min="2" max="2" width="6.7109375" bestFit="1" customWidth="1"/>
    <col min="4" max="4" width="6.28515625" bestFit="1" customWidth="1"/>
  </cols>
  <sheetData>
    <row r="3" spans="2:4" x14ac:dyDescent="0.25">
      <c r="B3" s="12" t="s">
        <v>101</v>
      </c>
      <c r="C3" s="12" t="s">
        <v>1</v>
      </c>
      <c r="D3" s="12" t="s">
        <v>201</v>
      </c>
    </row>
    <row r="4" spans="2:4" x14ac:dyDescent="0.25">
      <c r="B4" s="12">
        <v>1</v>
      </c>
      <c r="C4" s="12" t="s">
        <v>172</v>
      </c>
      <c r="D4" s="12">
        <v>89</v>
      </c>
    </row>
    <row r="5" spans="2:4" x14ac:dyDescent="0.25">
      <c r="B5" s="12">
        <v>2</v>
      </c>
      <c r="C5" s="12" t="s">
        <v>173</v>
      </c>
      <c r="D5" s="12">
        <v>63</v>
      </c>
    </row>
    <row r="6" spans="2:4" x14ac:dyDescent="0.25">
      <c r="B6" s="12">
        <v>3</v>
      </c>
      <c r="C6" s="12" t="s">
        <v>174</v>
      </c>
      <c r="D6" s="12">
        <v>50</v>
      </c>
    </row>
    <row r="7" spans="2:4" x14ac:dyDescent="0.25">
      <c r="B7" s="12">
        <v>4</v>
      </c>
      <c r="C7" s="12" t="s">
        <v>175</v>
      </c>
      <c r="D7" s="12">
        <v>62</v>
      </c>
    </row>
    <row r="8" spans="2:4" x14ac:dyDescent="0.25">
      <c r="B8" s="12">
        <v>5</v>
      </c>
      <c r="C8" s="12" t="s">
        <v>176</v>
      </c>
      <c r="D8" s="12">
        <v>74</v>
      </c>
    </row>
    <row r="9" spans="2:4" x14ac:dyDescent="0.25">
      <c r="B9" s="12">
        <v>6</v>
      </c>
      <c r="C9" s="12" t="s">
        <v>177</v>
      </c>
      <c r="D9" s="12">
        <v>88</v>
      </c>
    </row>
    <row r="10" spans="2:4" x14ac:dyDescent="0.25">
      <c r="B10" s="12">
        <v>7</v>
      </c>
      <c r="C10" s="12" t="s">
        <v>178</v>
      </c>
      <c r="D10" s="12">
        <v>78</v>
      </c>
    </row>
    <row r="11" spans="2:4" x14ac:dyDescent="0.25">
      <c r="B11" s="12">
        <v>8</v>
      </c>
      <c r="C11" s="12" t="s">
        <v>179</v>
      </c>
      <c r="D11" s="12">
        <v>85</v>
      </c>
    </row>
    <row r="12" spans="2:4" x14ac:dyDescent="0.25">
      <c r="B12" s="12">
        <v>9</v>
      </c>
      <c r="C12" s="12" t="s">
        <v>180</v>
      </c>
      <c r="D12" s="12">
        <v>77</v>
      </c>
    </row>
    <row r="13" spans="2:4" x14ac:dyDescent="0.25">
      <c r="B13" s="12">
        <v>10</v>
      </c>
      <c r="C13" s="12" t="s">
        <v>181</v>
      </c>
      <c r="D13" s="12">
        <v>87</v>
      </c>
    </row>
    <row r="14" spans="2:4" x14ac:dyDescent="0.25">
      <c r="B14" s="12">
        <v>11</v>
      </c>
      <c r="C14" s="12" t="s">
        <v>182</v>
      </c>
      <c r="D14" s="12">
        <v>68</v>
      </c>
    </row>
    <row r="15" spans="2:4" x14ac:dyDescent="0.25">
      <c r="B15" s="12">
        <v>12</v>
      </c>
      <c r="C15" s="12" t="s">
        <v>183</v>
      </c>
      <c r="D15" s="12">
        <v>54</v>
      </c>
    </row>
    <row r="16" spans="2:4" x14ac:dyDescent="0.25">
      <c r="B16" s="12">
        <v>13</v>
      </c>
      <c r="C16" s="12" t="s">
        <v>184</v>
      </c>
      <c r="D16" s="12">
        <v>67</v>
      </c>
    </row>
    <row r="17" spans="2:4" x14ac:dyDescent="0.25">
      <c r="B17" s="12">
        <v>14</v>
      </c>
      <c r="C17" s="12" t="s">
        <v>185</v>
      </c>
      <c r="D17" s="12">
        <v>93</v>
      </c>
    </row>
    <row r="18" spans="2:4" x14ac:dyDescent="0.25">
      <c r="B18" s="12">
        <v>15</v>
      </c>
      <c r="C18" s="12" t="s">
        <v>186</v>
      </c>
      <c r="D18" s="12">
        <v>51</v>
      </c>
    </row>
    <row r="19" spans="2:4" x14ac:dyDescent="0.25">
      <c r="B19" s="12">
        <v>16</v>
      </c>
      <c r="C19" s="26" t="s">
        <v>202</v>
      </c>
      <c r="D19" s="12">
        <v>58</v>
      </c>
    </row>
    <row r="20" spans="2:4" x14ac:dyDescent="0.25">
      <c r="B20" s="12">
        <v>17</v>
      </c>
      <c r="C20" s="26" t="s">
        <v>87</v>
      </c>
      <c r="D20" s="12">
        <v>54</v>
      </c>
    </row>
    <row r="21" spans="2:4" x14ac:dyDescent="0.25">
      <c r="B21" s="12">
        <v>18</v>
      </c>
      <c r="C21" s="26" t="s">
        <v>91</v>
      </c>
      <c r="D21" s="12">
        <v>53</v>
      </c>
    </row>
    <row r="22" spans="2:4" x14ac:dyDescent="0.25">
      <c r="B22" s="12">
        <v>19</v>
      </c>
      <c r="C22" s="26" t="s">
        <v>203</v>
      </c>
      <c r="D22" s="12">
        <v>74</v>
      </c>
    </row>
    <row r="23" spans="2:4" x14ac:dyDescent="0.25">
      <c r="B23" s="12">
        <v>20</v>
      </c>
      <c r="C23" s="26" t="s">
        <v>204</v>
      </c>
      <c r="D23" s="12">
        <v>73</v>
      </c>
    </row>
  </sheetData>
  <conditionalFormatting sqref="D4:D23">
    <cfRule type="cellIs" priority="3" operator="greaterThanOrEqual">
      <formula>75</formula>
    </cfRule>
    <cfRule type="cellIs" dxfId="6" priority="2" operator="greaterThanOrEqual">
      <formula>75</formula>
    </cfRule>
    <cfRule type="cellIs" dxfId="7" priority="1" operator="lessThan">
      <formula>40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B960C-B44F-414A-A370-222D9A1C8847}">
  <dimension ref="B3:C22"/>
  <sheetViews>
    <sheetView tabSelected="1" workbookViewId="0">
      <selection activeCell="C4" sqref="C4:C22"/>
    </sheetView>
  </sheetViews>
  <sheetFormatPr defaultRowHeight="15" x14ac:dyDescent="0.25"/>
  <cols>
    <col min="2" max="2" width="15.5703125" bestFit="1" customWidth="1"/>
    <col min="3" max="3" width="6.140625" bestFit="1" customWidth="1"/>
  </cols>
  <sheetData>
    <row r="3" spans="2:3" x14ac:dyDescent="0.25">
      <c r="B3" s="17" t="s">
        <v>152</v>
      </c>
      <c r="C3" s="17" t="s">
        <v>3</v>
      </c>
    </row>
    <row r="4" spans="2:3" x14ac:dyDescent="0.25">
      <c r="B4" s="17" t="s">
        <v>153</v>
      </c>
      <c r="C4" s="17">
        <v>26962</v>
      </c>
    </row>
    <row r="5" spans="2:3" x14ac:dyDescent="0.25">
      <c r="B5" s="17" t="s">
        <v>112</v>
      </c>
      <c r="C5" s="17">
        <v>28727</v>
      </c>
    </row>
    <row r="6" spans="2:3" x14ac:dyDescent="0.25">
      <c r="B6" s="17" t="s">
        <v>154</v>
      </c>
      <c r="C6" s="17">
        <v>37878</v>
      </c>
    </row>
    <row r="7" spans="2:3" x14ac:dyDescent="0.25">
      <c r="B7" s="17" t="s">
        <v>155</v>
      </c>
      <c r="C7" s="17">
        <v>43403</v>
      </c>
    </row>
    <row r="8" spans="2:3" x14ac:dyDescent="0.25">
      <c r="B8" s="17" t="s">
        <v>87</v>
      </c>
      <c r="C8" s="17">
        <v>40011</v>
      </c>
    </row>
    <row r="9" spans="2:3" x14ac:dyDescent="0.25">
      <c r="B9" s="17" t="s">
        <v>156</v>
      </c>
      <c r="C9" s="17">
        <v>30936</v>
      </c>
    </row>
    <row r="10" spans="2:3" x14ac:dyDescent="0.25">
      <c r="B10" s="17" t="s">
        <v>86</v>
      </c>
      <c r="C10" s="17">
        <v>33522</v>
      </c>
    </row>
    <row r="11" spans="2:3" x14ac:dyDescent="0.25">
      <c r="B11" s="17" t="s">
        <v>90</v>
      </c>
      <c r="C11" s="17">
        <v>41642</v>
      </c>
    </row>
    <row r="12" spans="2:3" x14ac:dyDescent="0.25">
      <c r="B12" s="17" t="s">
        <v>90</v>
      </c>
      <c r="C12" s="17">
        <v>34820</v>
      </c>
    </row>
    <row r="13" spans="2:3" x14ac:dyDescent="0.25">
      <c r="B13" s="17" t="s">
        <v>99</v>
      </c>
      <c r="C13" s="17">
        <v>47098</v>
      </c>
    </row>
    <row r="14" spans="2:3" x14ac:dyDescent="0.25">
      <c r="B14" s="17" t="s">
        <v>157</v>
      </c>
      <c r="C14" s="17">
        <v>29664</v>
      </c>
    </row>
    <row r="15" spans="2:3" x14ac:dyDescent="0.25">
      <c r="B15" s="17" t="s">
        <v>158</v>
      </c>
      <c r="C15" s="17">
        <v>37149</v>
      </c>
    </row>
    <row r="16" spans="2:3" x14ac:dyDescent="0.25">
      <c r="B16" s="17" t="s">
        <v>159</v>
      </c>
      <c r="C16" s="17">
        <v>39090</v>
      </c>
    </row>
    <row r="17" spans="2:3" x14ac:dyDescent="0.25">
      <c r="B17" s="17" t="s">
        <v>160</v>
      </c>
      <c r="C17" s="17">
        <v>47657</v>
      </c>
    </row>
    <row r="18" spans="2:3" x14ac:dyDescent="0.25">
      <c r="B18" s="17" t="s">
        <v>98</v>
      </c>
      <c r="C18" s="17">
        <v>45463</v>
      </c>
    </row>
    <row r="19" spans="2:3" x14ac:dyDescent="0.25">
      <c r="B19" s="17" t="s">
        <v>109</v>
      </c>
      <c r="C19" s="17">
        <v>35930</v>
      </c>
    </row>
    <row r="20" spans="2:3" x14ac:dyDescent="0.25">
      <c r="B20" s="17" t="s">
        <v>116</v>
      </c>
      <c r="C20" s="17">
        <v>41172</v>
      </c>
    </row>
    <row r="21" spans="2:3" x14ac:dyDescent="0.25">
      <c r="B21" s="17" t="s">
        <v>161</v>
      </c>
      <c r="C21" s="17">
        <v>34607</v>
      </c>
    </row>
    <row r="22" spans="2:3" x14ac:dyDescent="0.25">
      <c r="B22" s="17" t="s">
        <v>94</v>
      </c>
      <c r="C22" s="17">
        <v>36005</v>
      </c>
    </row>
  </sheetData>
  <conditionalFormatting sqref="C4:C22">
    <cfRule type="cellIs" dxfId="0" priority="3" operator="greaterThanOrEqual">
      <formula>50000</formula>
    </cfRule>
    <cfRule type="cellIs" dxfId="1" priority="2" operator="between">
      <formula>30000</formula>
      <formula>49999</formula>
    </cfRule>
    <cfRule type="cellIs" dxfId="2" priority="1" operator="lessThan">
      <formula>30000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task 1</vt:lpstr>
      <vt:lpstr>task 2</vt:lpstr>
      <vt:lpstr>task 3</vt:lpstr>
      <vt:lpstr>task 4</vt:lpstr>
      <vt:lpstr>task 5</vt:lpstr>
      <vt:lpstr>TASK 6</vt:lpstr>
      <vt:lpstr>TASK 7</vt:lpstr>
      <vt:lpstr>TASK 8</vt:lpstr>
      <vt:lpstr>task 9</vt:lpstr>
      <vt:lpstr>task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ASDC9</dc:creator>
  <cp:lastModifiedBy>ASDC9</cp:lastModifiedBy>
  <dcterms:created xsi:type="dcterms:W3CDTF">2026-03-26T13:30:04Z</dcterms:created>
  <dcterms:modified xsi:type="dcterms:W3CDTF">2026-03-30T14:11:48Z</dcterms:modified>
</cp:coreProperties>
</file>